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3"/>
  </bookViews>
  <sheets>
    <sheet name="FactWholeYear10" sheetId="1" r:id="rId1"/>
    <sheet name="DimFormTutor" sheetId="2" r:id="rId2"/>
    <sheet name="DimStudent" sheetId="3" r:id="rId3"/>
    <sheet name="DimOrFactSportsDay" sheetId="4" r:id="rId4"/>
  </sheets>
  <definedNames>
    <definedName name="_xlnm._FilterDatabase" localSheetId="3" hidden="1">DimOrFactSportsDay!$A$1:$O$1</definedName>
    <definedName name="_xlnm._FilterDatabase" localSheetId="0" hidden="1">FactWholeYear10!$A$1:$R$81</definedName>
  </definedNames>
  <calcPr calcId="144525"/>
</workbook>
</file>

<file path=xl/calcChain.xml><?xml version="1.0" encoding="utf-8"?>
<calcChain xmlns="http://schemas.openxmlformats.org/spreadsheetml/2006/main">
  <c r="T3" i="4" l="1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" i="4"/>
  <c r="O7" i="4"/>
  <c r="O13" i="4"/>
  <c r="O11" i="4"/>
  <c r="O16" i="4"/>
  <c r="O14" i="4"/>
  <c r="O17" i="4"/>
  <c r="O2" i="4"/>
  <c r="O10" i="4"/>
  <c r="O21" i="4"/>
  <c r="O12" i="4"/>
  <c r="O6" i="4"/>
  <c r="O3" i="4"/>
  <c r="O5" i="4"/>
  <c r="O20" i="4"/>
  <c r="O8" i="4"/>
  <c r="O9" i="4"/>
  <c r="O15" i="4"/>
  <c r="O18" i="4"/>
  <c r="O19" i="4"/>
  <c r="O4" i="4"/>
  <c r="N13" i="4"/>
  <c r="N11" i="4"/>
  <c r="N16" i="4"/>
  <c r="N14" i="4"/>
  <c r="N17" i="4"/>
  <c r="N2" i="4"/>
  <c r="N10" i="4"/>
  <c r="N21" i="4"/>
  <c r="N12" i="4"/>
  <c r="N6" i="4"/>
  <c r="N3" i="4"/>
  <c r="N5" i="4"/>
  <c r="N20" i="4"/>
  <c r="N8" i="4"/>
  <c r="N9" i="4"/>
  <c r="N15" i="4"/>
  <c r="N18" i="4"/>
  <c r="N7" i="4"/>
  <c r="N19" i="4"/>
  <c r="N4" i="4"/>
  <c r="J7" i="4"/>
  <c r="J13" i="4"/>
  <c r="J11" i="4"/>
  <c r="J16" i="4"/>
  <c r="J14" i="4"/>
  <c r="J17" i="4"/>
  <c r="J2" i="4"/>
  <c r="J10" i="4"/>
  <c r="J21" i="4"/>
  <c r="J12" i="4"/>
  <c r="J6" i="4"/>
  <c r="J3" i="4"/>
  <c r="J5" i="4"/>
  <c r="J20" i="4"/>
  <c r="J8" i="4"/>
  <c r="J9" i="4"/>
  <c r="J15" i="4"/>
  <c r="J18" i="4"/>
  <c r="J19" i="4"/>
  <c r="J4" i="4"/>
  <c r="I7" i="4"/>
  <c r="I13" i="4"/>
  <c r="I11" i="4"/>
  <c r="I16" i="4"/>
  <c r="I14" i="4"/>
  <c r="I17" i="4"/>
  <c r="I2" i="4"/>
  <c r="I10" i="4"/>
  <c r="I21" i="4"/>
  <c r="I12" i="4"/>
  <c r="I6" i="4"/>
  <c r="I3" i="4"/>
  <c r="I5" i="4"/>
  <c r="I20" i="4"/>
  <c r="I8" i="4"/>
  <c r="I9" i="4"/>
  <c r="I15" i="4"/>
  <c r="I18" i="4"/>
  <c r="I19" i="4"/>
  <c r="I4" i="4"/>
  <c r="L12" i="1"/>
  <c r="L13" i="1"/>
  <c r="L14" i="1"/>
  <c r="L15" i="1"/>
  <c r="L23" i="1"/>
  <c r="L25" i="1"/>
  <c r="L26" i="1"/>
  <c r="L27" i="1"/>
  <c r="L29" i="1"/>
  <c r="L32" i="1"/>
  <c r="L33" i="1"/>
  <c r="L35" i="1"/>
  <c r="L39" i="1"/>
  <c r="L41" i="1"/>
  <c r="L42" i="1"/>
  <c r="L43" i="1"/>
  <c r="L45" i="1"/>
  <c r="L46" i="1"/>
  <c r="L50" i="1"/>
  <c r="L55" i="1"/>
  <c r="L56" i="1"/>
  <c r="L61" i="1"/>
  <c r="L62" i="1"/>
  <c r="L64" i="1"/>
  <c r="L65" i="1"/>
  <c r="L66" i="1"/>
  <c r="L72" i="1"/>
  <c r="L80" i="1"/>
  <c r="L81" i="1"/>
  <c r="L2" i="1"/>
  <c r="L6" i="1"/>
  <c r="L9" i="1"/>
  <c r="L11" i="1"/>
  <c r="L16" i="1"/>
  <c r="L17" i="1"/>
  <c r="L18" i="1"/>
  <c r="L19" i="1"/>
  <c r="L22" i="1"/>
  <c r="L34" i="1"/>
  <c r="L37" i="1"/>
  <c r="L40" i="1"/>
  <c r="L51" i="1"/>
  <c r="L52" i="1"/>
  <c r="L53" i="1"/>
  <c r="L57" i="1"/>
  <c r="L58" i="1"/>
  <c r="L59" i="1"/>
  <c r="L60" i="1"/>
  <c r="L67" i="1"/>
  <c r="L68" i="1"/>
  <c r="L73" i="1"/>
  <c r="L74" i="1"/>
  <c r="L75" i="1"/>
  <c r="L76" i="1"/>
  <c r="L77" i="1"/>
  <c r="L78" i="1"/>
  <c r="L79" i="1"/>
  <c r="L3" i="1"/>
  <c r="L4" i="1"/>
  <c r="L5" i="1"/>
  <c r="L20" i="1"/>
  <c r="L21" i="1"/>
  <c r="L24" i="1"/>
  <c r="L28" i="1"/>
  <c r="L30" i="1"/>
  <c r="L31" i="1"/>
  <c r="L36" i="1"/>
  <c r="L38" i="1"/>
  <c r="L44" i="1"/>
  <c r="L47" i="1"/>
  <c r="L48" i="1"/>
  <c r="L49" i="1"/>
  <c r="L54" i="1"/>
  <c r="L63" i="1"/>
  <c r="L69" i="1"/>
  <c r="L70" i="1"/>
  <c r="L71" i="1"/>
  <c r="L10" i="1"/>
  <c r="L8" i="1"/>
  <c r="L7" i="1"/>
  <c r="P13" i="1"/>
  <c r="P14" i="1"/>
  <c r="P15" i="1"/>
  <c r="P23" i="1"/>
  <c r="P25" i="1"/>
  <c r="P26" i="1"/>
  <c r="P27" i="1"/>
  <c r="P29" i="1"/>
  <c r="P32" i="1"/>
  <c r="P33" i="1"/>
  <c r="P35" i="1"/>
  <c r="P39" i="1"/>
  <c r="P41" i="1"/>
  <c r="P42" i="1"/>
  <c r="P43" i="1"/>
  <c r="P45" i="1"/>
  <c r="P46" i="1"/>
  <c r="P50" i="1"/>
  <c r="P55" i="1"/>
  <c r="P56" i="1"/>
  <c r="P61" i="1"/>
  <c r="P62" i="1"/>
  <c r="P64" i="1"/>
  <c r="P65" i="1"/>
  <c r="P66" i="1"/>
  <c r="P72" i="1"/>
  <c r="P80" i="1"/>
  <c r="P81" i="1"/>
  <c r="P2" i="1"/>
  <c r="P6" i="1"/>
  <c r="P9" i="1"/>
  <c r="P11" i="1"/>
  <c r="P16" i="1"/>
  <c r="P17" i="1"/>
  <c r="P18" i="1"/>
  <c r="P19" i="1"/>
  <c r="P22" i="1"/>
  <c r="P34" i="1"/>
  <c r="P37" i="1"/>
  <c r="P40" i="1"/>
  <c r="P51" i="1"/>
  <c r="P52" i="1"/>
  <c r="P53" i="1"/>
  <c r="P57" i="1"/>
  <c r="P58" i="1"/>
  <c r="P59" i="1"/>
  <c r="P60" i="1"/>
  <c r="P67" i="1"/>
  <c r="P68" i="1"/>
  <c r="P73" i="1"/>
  <c r="P74" i="1"/>
  <c r="P75" i="1"/>
  <c r="P76" i="1"/>
  <c r="P77" i="1"/>
  <c r="P78" i="1"/>
  <c r="P79" i="1"/>
  <c r="P3" i="1"/>
  <c r="P4" i="1"/>
  <c r="P5" i="1"/>
  <c r="P20" i="1"/>
  <c r="P21" i="1"/>
  <c r="P24" i="1"/>
  <c r="P28" i="1"/>
  <c r="P30" i="1"/>
  <c r="P31" i="1"/>
  <c r="P36" i="1"/>
  <c r="P38" i="1"/>
  <c r="P44" i="1"/>
  <c r="P47" i="1"/>
  <c r="P48" i="1"/>
  <c r="P49" i="1"/>
  <c r="P54" i="1"/>
  <c r="P63" i="1"/>
  <c r="P69" i="1"/>
  <c r="P70" i="1"/>
  <c r="P71" i="1"/>
  <c r="P10" i="1"/>
  <c r="P12" i="1"/>
  <c r="P8" i="1"/>
  <c r="P7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5" i="1"/>
  <c r="S6" i="1"/>
  <c r="S4" i="1"/>
  <c r="S3" i="1"/>
  <c r="S2" i="1"/>
</calcChain>
</file>

<file path=xl/sharedStrings.xml><?xml version="1.0" encoding="utf-8"?>
<sst xmlns="http://schemas.openxmlformats.org/spreadsheetml/2006/main" count="983" uniqueCount="357">
  <si>
    <t>Form</t>
  </si>
  <si>
    <t>Student ID</t>
  </si>
  <si>
    <t>Form Tutor ID</t>
  </si>
  <si>
    <t>Hours per week studying maths</t>
  </si>
  <si>
    <t>Hours per week studying science</t>
  </si>
  <si>
    <t>Hours per week studying english</t>
  </si>
  <si>
    <t>Hours of exercise each week</t>
  </si>
  <si>
    <t>Percentage scored on non calc maths test</t>
  </si>
  <si>
    <t>Percentage scored on calculator 2 maths test</t>
  </si>
  <si>
    <t>Percentage scored on calculator 1 maths test</t>
  </si>
  <si>
    <t>Percentage scored on biology test</t>
  </si>
  <si>
    <t>Percentage score on chemistry test</t>
  </si>
  <si>
    <t>Percentage score on physics test</t>
  </si>
  <si>
    <t>Percentage score on english language test</t>
  </si>
  <si>
    <t>Percentage score on english literature test</t>
  </si>
  <si>
    <t>JS</t>
  </si>
  <si>
    <t>EJ</t>
  </si>
  <si>
    <t>MW</t>
  </si>
  <si>
    <t>SD</t>
  </si>
  <si>
    <t>Major</t>
  </si>
  <si>
    <t>Maths</t>
  </si>
  <si>
    <t>Science</t>
  </si>
  <si>
    <t>English</t>
  </si>
  <si>
    <t>Gender</t>
  </si>
  <si>
    <t>John</t>
  </si>
  <si>
    <t>Smith</t>
  </si>
  <si>
    <t>Male</t>
  </si>
  <si>
    <t>Mathematics</t>
  </si>
  <si>
    <t>Emily</t>
  </si>
  <si>
    <t>Johnson</t>
  </si>
  <si>
    <t>Female</t>
  </si>
  <si>
    <t>Michael</t>
  </si>
  <si>
    <t>Williams</t>
  </si>
  <si>
    <t>Sarah</t>
  </si>
  <si>
    <t>Davis</t>
  </si>
  <si>
    <t>History</t>
  </si>
  <si>
    <t>Teacher Forename</t>
  </si>
  <si>
    <t>Teacher Surname</t>
  </si>
  <si>
    <t>DOB</t>
  </si>
  <si>
    <t>Subject</t>
  </si>
  <si>
    <t>Time for commute in hours</t>
  </si>
  <si>
    <t>English average</t>
  </si>
  <si>
    <t>Science average</t>
  </si>
  <si>
    <t>Maths average</t>
  </si>
  <si>
    <t>Student Forename</t>
  </si>
  <si>
    <t>Student Surname</t>
  </si>
  <si>
    <t>Liam</t>
  </si>
  <si>
    <t>Brown</t>
  </si>
  <si>
    <t>Olivia</t>
  </si>
  <si>
    <t>Noah</t>
  </si>
  <si>
    <t>Taylor</t>
  </si>
  <si>
    <t>Ava</t>
  </si>
  <si>
    <t>Miller</t>
  </si>
  <si>
    <t>William</t>
  </si>
  <si>
    <t>Wilson</t>
  </si>
  <si>
    <t>Sophia</t>
  </si>
  <si>
    <t>Anderson</t>
  </si>
  <si>
    <t>James</t>
  </si>
  <si>
    <t>Martinez</t>
  </si>
  <si>
    <t>Isabella</t>
  </si>
  <si>
    <t>Jackson</t>
  </si>
  <si>
    <t>Benjamin</t>
  </si>
  <si>
    <t>Thompson</t>
  </si>
  <si>
    <t>Mia</t>
  </si>
  <si>
    <t>White</t>
  </si>
  <si>
    <t>Oliver</t>
  </si>
  <si>
    <t>Harris</t>
  </si>
  <si>
    <t>Charlotte</t>
  </si>
  <si>
    <t>Lee</t>
  </si>
  <si>
    <t>Elijah</t>
  </si>
  <si>
    <t>Clark</t>
  </si>
  <si>
    <t>Amelia</t>
  </si>
  <si>
    <t>Lewis</t>
  </si>
  <si>
    <t>Lucas</t>
  </si>
  <si>
    <t>Young</t>
  </si>
  <si>
    <t>Harper</t>
  </si>
  <si>
    <t>Walker</t>
  </si>
  <si>
    <t>Henry</t>
  </si>
  <si>
    <t>Hall</t>
  </si>
  <si>
    <t>Evelyn</t>
  </si>
  <si>
    <t>Hernandez</t>
  </si>
  <si>
    <t>Alexander</t>
  </si>
  <si>
    <t>King</t>
  </si>
  <si>
    <t>Abigail</t>
  </si>
  <si>
    <t>Turner</t>
  </si>
  <si>
    <t>Phillips</t>
  </si>
  <si>
    <t>Garcia</t>
  </si>
  <si>
    <t>Daniel</t>
  </si>
  <si>
    <t>Martin</t>
  </si>
  <si>
    <t>Scarlett</t>
  </si>
  <si>
    <t>Rodriguez</t>
  </si>
  <si>
    <t>Matthew</t>
  </si>
  <si>
    <t>Sofia</t>
  </si>
  <si>
    <t>David</t>
  </si>
  <si>
    <t>Scott</t>
  </si>
  <si>
    <t>Grace</t>
  </si>
  <si>
    <t>Wright</t>
  </si>
  <si>
    <t>Riley</t>
  </si>
  <si>
    <t>Adams</t>
  </si>
  <si>
    <t>Sebastian</t>
  </si>
  <si>
    <t>Lily</t>
  </si>
  <si>
    <t>Carter</t>
  </si>
  <si>
    <t>Foster</t>
  </si>
  <si>
    <t>Avery</t>
  </si>
  <si>
    <t>Morris</t>
  </si>
  <si>
    <t>Gabriel</t>
  </si>
  <si>
    <t>Mitchell</t>
  </si>
  <si>
    <t>Layla</t>
  </si>
  <si>
    <t>Roberts</t>
  </si>
  <si>
    <t>Addison</t>
  </si>
  <si>
    <t>Julian</t>
  </si>
  <si>
    <t>Ella</t>
  </si>
  <si>
    <t>Ryan</t>
  </si>
  <si>
    <t>Penelope</t>
  </si>
  <si>
    <t>Samuel</t>
  </si>
  <si>
    <t>Natalie</t>
  </si>
  <si>
    <t>Hazel</t>
  </si>
  <si>
    <t>Andrew</t>
  </si>
  <si>
    <t>Aurora</t>
  </si>
  <si>
    <t>Christopher</t>
  </si>
  <si>
    <t>Stella</t>
  </si>
  <si>
    <t>Nathan</t>
  </si>
  <si>
    <t>Aria</t>
  </si>
  <si>
    <t>Logan</t>
  </si>
  <si>
    <t>Victoria</t>
  </si>
  <si>
    <t>Ethan</t>
  </si>
  <si>
    <t>Jacob</t>
  </si>
  <si>
    <t>Jordan</t>
  </si>
  <si>
    <t>Emilia</t>
  </si>
  <si>
    <t>Elizabeth</t>
  </si>
  <si>
    <t>Alyss</t>
  </si>
  <si>
    <t>Will</t>
  </si>
  <si>
    <t>Sophie</t>
  </si>
  <si>
    <t>Jimmy</t>
  </si>
  <si>
    <t>Ben</t>
  </si>
  <si>
    <t>Mila</t>
  </si>
  <si>
    <t>Amy</t>
  </si>
  <si>
    <t>Henrie</t>
  </si>
  <si>
    <t>Vi</t>
  </si>
  <si>
    <t>Abby</t>
  </si>
  <si>
    <t>Micky</t>
  </si>
  <si>
    <t>Danielle</t>
  </si>
  <si>
    <t>Matt</t>
  </si>
  <si>
    <t>Lale</t>
  </si>
  <si>
    <t>Danny</t>
  </si>
  <si>
    <t>Sam</t>
  </si>
  <si>
    <t>Madeline</t>
  </si>
  <si>
    <t>Smiths</t>
  </si>
  <si>
    <t>Dawson</t>
  </si>
  <si>
    <t>Black</t>
  </si>
  <si>
    <t>Davies</t>
  </si>
  <si>
    <t>Ark</t>
  </si>
  <si>
    <t>Glass</t>
  </si>
  <si>
    <t>Williamson</t>
  </si>
  <si>
    <t>Neutron</t>
  </si>
  <si>
    <t>Blumchen</t>
  </si>
  <si>
    <t>Huckaby</t>
  </si>
  <si>
    <t>Web</t>
  </si>
  <si>
    <t>Claires</t>
  </si>
  <si>
    <t>Fowler</t>
  </si>
  <si>
    <t>Yin</t>
  </si>
  <si>
    <t>Wang</t>
  </si>
  <si>
    <t>Lau</t>
  </si>
  <si>
    <t>Solaris</t>
  </si>
  <si>
    <t>Queen</t>
  </si>
  <si>
    <t>Tang</t>
  </si>
  <si>
    <t>Min</t>
  </si>
  <si>
    <t>Ri</t>
  </si>
  <si>
    <t>Wellington</t>
  </si>
  <si>
    <t>Ting</t>
  </si>
  <si>
    <t>Ming</t>
  </si>
  <si>
    <t>Ah</t>
  </si>
  <si>
    <t>Dan</t>
  </si>
  <si>
    <t>Kang</t>
  </si>
  <si>
    <t>Way</t>
  </si>
  <si>
    <t>Timms</t>
  </si>
  <si>
    <t>Cruz</t>
  </si>
  <si>
    <t>Portman</t>
  </si>
  <si>
    <t>Whatling</t>
  </si>
  <si>
    <t>Princess</t>
  </si>
  <si>
    <t>Lan</t>
  </si>
  <si>
    <t>Kim</t>
  </si>
  <si>
    <t>Ma</t>
  </si>
  <si>
    <t>Junaid</t>
  </si>
  <si>
    <t>Rose</t>
  </si>
  <si>
    <t>Windsor</t>
  </si>
  <si>
    <t>Tudor</t>
  </si>
  <si>
    <t>Graham</t>
  </si>
  <si>
    <t>Ahn</t>
  </si>
  <si>
    <t>Morgan</t>
  </si>
  <si>
    <t>Postcode</t>
  </si>
  <si>
    <t>PAON</t>
  </si>
  <si>
    <t>SAON</t>
  </si>
  <si>
    <t>Street</t>
  </si>
  <si>
    <t>Locality</t>
  </si>
  <si>
    <t>Town/City</t>
  </si>
  <si>
    <t>District</t>
  </si>
  <si>
    <t>County</t>
  </si>
  <si>
    <t>BUCHAREST ROAD</t>
  </si>
  <si>
    <t>SW18 3AS</t>
  </si>
  <si>
    <t>SW18 3AR</t>
  </si>
  <si>
    <t>LONDON</t>
  </si>
  <si>
    <t>WANDSWORTH</t>
  </si>
  <si>
    <t>GREATER LONDON</t>
  </si>
  <si>
    <t>FERNDENE ROAD</t>
  </si>
  <si>
    <t>LAMBETH</t>
  </si>
  <si>
    <t>SE24 0AQ</t>
  </si>
  <si>
    <t>SE24 0AB</t>
  </si>
  <si>
    <t>SE24 0AA</t>
  </si>
  <si>
    <t>SW4 7RN</t>
  </si>
  <si>
    <t>SW4 7SA</t>
  </si>
  <si>
    <t>BASEMENT AND GROUND FLOOR FLAT</t>
  </si>
  <si>
    <t>FERNDALE ROAD</t>
  </si>
  <si>
    <t>STAFFORD MANSIONS, 138</t>
  </si>
  <si>
    <t>FLAT 10</t>
  </si>
  <si>
    <t>SW4 7RL</t>
  </si>
  <si>
    <t>SW4 7RJ</t>
  </si>
  <si>
    <t>SW4 7SF</t>
  </si>
  <si>
    <t>18A</t>
  </si>
  <si>
    <t>SW12 9NJ</t>
  </si>
  <si>
    <t>FERNBANK MEWS</t>
  </si>
  <si>
    <t>BASEMENT FLAT</t>
  </si>
  <si>
    <t>SW9 8AY</t>
  </si>
  <si>
    <t>GLASBURY HOUSE</t>
  </si>
  <si>
    <t>FLAT 7</t>
  </si>
  <si>
    <t>SW9 8AH</t>
  </si>
  <si>
    <t>202A</t>
  </si>
  <si>
    <t>SW4 7SE</t>
  </si>
  <si>
    <t>70B</t>
  </si>
  <si>
    <t>129A</t>
  </si>
  <si>
    <t>SW4 8QQ</t>
  </si>
  <si>
    <t>ELMS CRESCENT</t>
  </si>
  <si>
    <t>SW4 8QE</t>
  </si>
  <si>
    <t>SW4 8QJ</t>
  </si>
  <si>
    <t>DEAUVILLE MANSIONS</t>
  </si>
  <si>
    <t>FLAT 6</t>
  </si>
  <si>
    <t>SW4 8QG</t>
  </si>
  <si>
    <t>SW4 8QH</t>
  </si>
  <si>
    <t>DEAUVILLE COURT</t>
  </si>
  <si>
    <t>SW4 8QR</t>
  </si>
  <si>
    <t>SW7 3PF</t>
  </si>
  <si>
    <t>FLAT 5</t>
  </si>
  <si>
    <t>ROLAND GARDENS</t>
  </si>
  <si>
    <t>SW7 3PQ</t>
  </si>
  <si>
    <t>45B</t>
  </si>
  <si>
    <t>SW7 3PH</t>
  </si>
  <si>
    <t>FLAT 1</t>
  </si>
  <si>
    <t>SW7 3PL</t>
  </si>
  <si>
    <t>THIRD AND FOURTH FLOOR MAISONETTE</t>
  </si>
  <si>
    <t>KENSINGTON AND CHELSEA</t>
  </si>
  <si>
    <t>SW5 9LA</t>
  </si>
  <si>
    <t>FLAT 2</t>
  </si>
  <si>
    <t>KEMPSFORD GARDENS</t>
  </si>
  <si>
    <t>39C</t>
  </si>
  <si>
    <t>FLAT 4</t>
  </si>
  <si>
    <t>SW5 9LH</t>
  </si>
  <si>
    <t>W10 5UL</t>
  </si>
  <si>
    <t>OXFORD GARDENS</t>
  </si>
  <si>
    <t>FLAT A</t>
  </si>
  <si>
    <t>W10 6NF</t>
  </si>
  <si>
    <t>W10 5UN</t>
  </si>
  <si>
    <t>68A</t>
  </si>
  <si>
    <t>60D</t>
  </si>
  <si>
    <t>W10 5UJ</t>
  </si>
  <si>
    <t>W10 5UW</t>
  </si>
  <si>
    <t>79A</t>
  </si>
  <si>
    <t>W10 6LZ</t>
  </si>
  <si>
    <t>W10 6NE</t>
  </si>
  <si>
    <t>W14 8DD</t>
  </si>
  <si>
    <t>ADDISON ROAD</t>
  </si>
  <si>
    <t>W14 8DE</t>
  </si>
  <si>
    <t>BUCKLEY HOUSE, 96</t>
  </si>
  <si>
    <t>NW2 3TN</t>
  </si>
  <si>
    <t>FORDWYCH ROAD</t>
  </si>
  <si>
    <t>WC1N 3AD</t>
  </si>
  <si>
    <t>OLD GLOUCESTER STREET</t>
  </si>
  <si>
    <t>N6 6HR</t>
  </si>
  <si>
    <t>THE HEXAGON</t>
  </si>
  <si>
    <t>NW1 7JR</t>
  </si>
  <si>
    <t>125 - 133</t>
  </si>
  <si>
    <t>CAMDEN HIGH STREET</t>
  </si>
  <si>
    <t>NW5 4HX</t>
  </si>
  <si>
    <t>SOUTHAMPTON ROAD</t>
  </si>
  <si>
    <t>NW5 3QE</t>
  </si>
  <si>
    <t>MODBURY GARDENS</t>
  </si>
  <si>
    <t>NW3 5RN</t>
  </si>
  <si>
    <t>NETHERHALL GARDENS</t>
  </si>
  <si>
    <t>NW5 1DL</t>
  </si>
  <si>
    <t>TWISDEN ROAD</t>
  </si>
  <si>
    <t>NW3 1BA</t>
  </si>
  <si>
    <t>VILLAS ON THE HEATH</t>
  </si>
  <si>
    <t>NW3 5AG</t>
  </si>
  <si>
    <t>BELSIZE LANE</t>
  </si>
  <si>
    <t>NW3 2TX</t>
  </si>
  <si>
    <t>NASSINGTON ROAD</t>
  </si>
  <si>
    <t>CAMDEN</t>
  </si>
  <si>
    <t>NW3 1EY</t>
  </si>
  <si>
    <t>FLASK WALK</t>
  </si>
  <si>
    <t>N6 6AA</t>
  </si>
  <si>
    <t>HOLLY LODGE GARDENS</t>
  </si>
  <si>
    <t>NW5 2AL</t>
  </si>
  <si>
    <t>BARTHOLOMEW ROAD</t>
  </si>
  <si>
    <t>NW3 2YP</t>
  </si>
  <si>
    <t>PARKHILL ROAD</t>
  </si>
  <si>
    <t>NW5 2HR</t>
  </si>
  <si>
    <t>143A</t>
  </si>
  <si>
    <t>FORTESS ROAD</t>
  </si>
  <si>
    <t>WC1E 6JW</t>
  </si>
  <si>
    <t>PARAMOUNT COURT, 41</t>
  </si>
  <si>
    <t>FLAT 88</t>
  </si>
  <si>
    <t>UNIVERSITY STREET</t>
  </si>
  <si>
    <t>NW6 3QS</t>
  </si>
  <si>
    <t>BROADHURST CLOSE</t>
  </si>
  <si>
    <t>EC1R 5DU</t>
  </si>
  <si>
    <t>164A</t>
  </si>
  <si>
    <t>CLERKENWELL ROAD</t>
  </si>
  <si>
    <t>NW5 4EE</t>
  </si>
  <si>
    <t>62 - 64</t>
  </si>
  <si>
    <t>QUEENS CRESCENT</t>
  </si>
  <si>
    <t>N6 6LR</t>
  </si>
  <si>
    <t>SOUTH GROVE HOUSE</t>
  </si>
  <si>
    <t>FLAT 51</t>
  </si>
  <si>
    <t>SOUTH GROVE</t>
  </si>
  <si>
    <t>NW1 9XY</t>
  </si>
  <si>
    <t>BOWMORE WALK</t>
  </si>
  <si>
    <t>NW8 6RA</t>
  </si>
  <si>
    <t>SHERINGHAM</t>
  </si>
  <si>
    <t>FLAT 35</t>
  </si>
  <si>
    <t>ST JOHN'S WOOD PARK</t>
  </si>
  <si>
    <t>NW3 2AE</t>
  </si>
  <si>
    <t>FLAT 3</t>
  </si>
  <si>
    <t>HAVERSTOCK HILL</t>
  </si>
  <si>
    <t>EC1N 8AG</t>
  </si>
  <si>
    <t>CITY VIEW APARTMENTS, 29A</t>
  </si>
  <si>
    <t>FLAT 14</t>
  </si>
  <si>
    <t>SAFFRON HILL</t>
  </si>
  <si>
    <t>NW3 5UB</t>
  </si>
  <si>
    <t>GREENHILL</t>
  </si>
  <si>
    <t>FLAT 27</t>
  </si>
  <si>
    <t>PRINCE ARTHUR ROAD</t>
  </si>
  <si>
    <t>NW3 5UA</t>
  </si>
  <si>
    <t>FLAT 34</t>
  </si>
  <si>
    <t>Javelin 1/m</t>
  </si>
  <si>
    <t>Javelin 2/m</t>
  </si>
  <si>
    <t>Javelin 3/m</t>
  </si>
  <si>
    <t>Average Javelin/m</t>
  </si>
  <si>
    <t>STD Javelin/m</t>
  </si>
  <si>
    <t>100m run time 1/s</t>
  </si>
  <si>
    <t>100m run time 2/s</t>
  </si>
  <si>
    <t>100m run time 3/s</t>
  </si>
  <si>
    <t>Average 100m run time/s</t>
  </si>
  <si>
    <t>STD 100m run time/s</t>
  </si>
  <si>
    <t>Distance of dart from centre 1/cm</t>
  </si>
  <si>
    <t>Distance of dart from centre 3/cm</t>
  </si>
  <si>
    <t>Distance of dart from centre 2/cm</t>
  </si>
  <si>
    <t>Average Distance of dart from centre/cm</t>
  </si>
  <si>
    <t>STD Distance from centre/cm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</si>
</sst>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Fill="1"/>
    <xf numFmtId="14" fontId="0" fillId="0" borderId="0" xfId="0" applyNumberFormat="1"/>
    <xf numFmtId="2" fontId="0" fillId="0" borderId="0" xfId="0" applyNumberFormat="1"/>
    <xf numFmtId="170" fontId="0" fillId="0" borderId="0" xfId="0" applyNumberFormat="1"/>
    <xf numFmtId="170" fontId="0" fillId="0" borderId="0" xfId="0" applyNumberFormat="1" applyFill="1"/>
    <xf numFmtId="1" fontId="0" fillId="0" borderId="0" xfId="0" applyNumberFormat="1" applyFill="1"/>
    <xf numFmtId="49" fontId="0" fillId="0" borderId="0" xfId="0" applyNumberFormat="1" applyFill="1"/>
    <xf numFmtId="49" fontId="0" fillId="0" borderId="0" xfId="0" applyNumberFormat="1" applyFont="1"/>
    <xf numFmtId="0" fontId="0" fillId="0" borderId="0" xfId="0" applyFont="1"/>
    <xf numFmtId="49" fontId="0" fillId="0" borderId="0" xfId="0" applyNumberFormat="1"/>
    <xf numFmtId="1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zoomScale="70" zoomScaleNormal="70" workbookViewId="0">
      <selection activeCell="I9" sqref="I9"/>
    </sheetView>
  </sheetViews>
  <sheetFormatPr defaultRowHeight="14.4" x14ac:dyDescent="0.3"/>
  <cols>
    <col min="1" max="1" width="5.21875" bestFit="1" customWidth="1"/>
    <col min="2" max="2" width="9.44140625" bestFit="1" customWidth="1"/>
    <col min="3" max="3" width="12.33203125" bestFit="1" customWidth="1"/>
    <col min="4" max="4" width="8.6640625" bestFit="1" customWidth="1"/>
    <col min="5" max="5" width="26.6640625" customWidth="1"/>
    <col min="6" max="6" width="27.6640625" customWidth="1"/>
    <col min="7" max="7" width="27.21875" customWidth="1"/>
    <col min="8" max="8" width="24.5546875" customWidth="1"/>
    <col min="9" max="9" width="35.44140625" customWidth="1"/>
    <col min="10" max="12" width="38.33203125" customWidth="1"/>
    <col min="13" max="13" width="28.88671875" customWidth="1"/>
    <col min="14" max="14" width="30" customWidth="1"/>
    <col min="15" max="16" width="27.77734375" customWidth="1"/>
    <col min="17" max="17" width="35.44140625" bestFit="1" customWidth="1"/>
    <col min="18" max="18" width="35.77734375" bestFit="1" customWidth="1"/>
    <col min="19" max="19" width="14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  <c r="L1" t="s">
        <v>43</v>
      </c>
      <c r="M1" t="s">
        <v>10</v>
      </c>
      <c r="N1" t="s">
        <v>11</v>
      </c>
      <c r="O1" t="s">
        <v>12</v>
      </c>
      <c r="P1" t="s">
        <v>42</v>
      </c>
      <c r="Q1" t="s">
        <v>13</v>
      </c>
      <c r="R1" t="s">
        <v>14</v>
      </c>
      <c r="S1" t="s">
        <v>41</v>
      </c>
    </row>
    <row r="2" spans="1:19" x14ac:dyDescent="0.3">
      <c r="A2" s="10" t="s">
        <v>15</v>
      </c>
      <c r="B2" s="11">
        <v>1</v>
      </c>
      <c r="C2" s="11">
        <v>1</v>
      </c>
      <c r="D2" s="10" t="s">
        <v>20</v>
      </c>
      <c r="E2" s="4">
        <v>12.54</v>
      </c>
      <c r="F2" s="4">
        <v>9.14</v>
      </c>
      <c r="G2" s="4">
        <v>10.86</v>
      </c>
      <c r="H2" s="4">
        <v>3.59</v>
      </c>
      <c r="I2" s="4">
        <v>84.8</v>
      </c>
      <c r="J2" s="4">
        <v>97.6</v>
      </c>
      <c r="K2" s="4">
        <v>79.3</v>
      </c>
      <c r="L2" s="4">
        <f>AVERAGE(I2:K2)</f>
        <v>87.233333333333334</v>
      </c>
      <c r="M2" s="4">
        <v>75.599999999999994</v>
      </c>
      <c r="N2" s="4">
        <v>81.599999999999994</v>
      </c>
      <c r="O2" s="4">
        <v>85.4</v>
      </c>
      <c r="P2" s="4">
        <f>AVERAGE(M2:O2)</f>
        <v>80.86666666666666</v>
      </c>
      <c r="Q2" s="4">
        <v>85.2</v>
      </c>
      <c r="R2" s="4">
        <v>79.2</v>
      </c>
      <c r="S2" s="4">
        <f>AVERAGE(Q2:R2)</f>
        <v>82.2</v>
      </c>
    </row>
    <row r="3" spans="1:19" x14ac:dyDescent="0.3">
      <c r="A3" s="7" t="s">
        <v>15</v>
      </c>
      <c r="B3" s="6">
        <v>2</v>
      </c>
      <c r="C3" s="6">
        <v>1</v>
      </c>
      <c r="D3" s="7" t="s">
        <v>21</v>
      </c>
      <c r="E3" s="5">
        <v>11.02</v>
      </c>
      <c r="F3" s="5">
        <v>14.22</v>
      </c>
      <c r="G3" s="5">
        <v>11.72</v>
      </c>
      <c r="H3" s="5">
        <v>5.99</v>
      </c>
      <c r="I3" s="5">
        <v>88.2</v>
      </c>
      <c r="J3" s="5">
        <v>71.2</v>
      </c>
      <c r="K3" s="5">
        <v>76.5</v>
      </c>
      <c r="L3" s="4">
        <f>AVERAGE(I3:K3)</f>
        <v>78.63333333333334</v>
      </c>
      <c r="M3" s="5">
        <v>85.2</v>
      </c>
      <c r="N3" s="5">
        <v>86.2</v>
      </c>
      <c r="O3" s="5">
        <v>92.3</v>
      </c>
      <c r="P3" s="4">
        <f>AVERAGE(M3:O3)</f>
        <v>87.899999999999991</v>
      </c>
      <c r="Q3" s="5">
        <v>84.5</v>
      </c>
      <c r="R3" s="5">
        <v>74.2</v>
      </c>
      <c r="S3" s="4">
        <f>AVERAGE(Q3:R3)</f>
        <v>79.349999999999994</v>
      </c>
    </row>
    <row r="4" spans="1:19" x14ac:dyDescent="0.3">
      <c r="A4" s="10" t="s">
        <v>15</v>
      </c>
      <c r="B4" s="11">
        <v>3</v>
      </c>
      <c r="C4" s="11">
        <v>1</v>
      </c>
      <c r="D4" s="10" t="s">
        <v>21</v>
      </c>
      <c r="E4" s="4">
        <v>9.68</v>
      </c>
      <c r="F4" s="4">
        <v>12.82</v>
      </c>
      <c r="G4" s="4">
        <v>10.130000000000001</v>
      </c>
      <c r="H4" s="4">
        <v>0.51</v>
      </c>
      <c r="I4" s="4">
        <v>66.2</v>
      </c>
      <c r="J4" s="4">
        <v>81.400000000000006</v>
      </c>
      <c r="K4" s="4">
        <v>90.2</v>
      </c>
      <c r="L4" s="4">
        <f>AVERAGE(I4:K4)</f>
        <v>79.266666666666666</v>
      </c>
      <c r="M4" s="4">
        <v>96.7</v>
      </c>
      <c r="N4" s="4">
        <v>94.7</v>
      </c>
      <c r="O4" s="4">
        <v>100</v>
      </c>
      <c r="P4" s="4">
        <f>AVERAGE(M4:O4)</f>
        <v>97.133333333333326</v>
      </c>
      <c r="Q4" s="4">
        <v>72.3</v>
      </c>
      <c r="R4" s="4">
        <v>96.7</v>
      </c>
      <c r="S4" s="4">
        <f>AVERAGE(Q4:R4)</f>
        <v>84.5</v>
      </c>
    </row>
    <row r="5" spans="1:19" x14ac:dyDescent="0.3">
      <c r="A5" s="10" t="s">
        <v>15</v>
      </c>
      <c r="B5" s="11">
        <v>4</v>
      </c>
      <c r="C5" s="11">
        <v>1</v>
      </c>
      <c r="D5" s="10" t="s">
        <v>21</v>
      </c>
      <c r="E5" s="4">
        <v>9.94</v>
      </c>
      <c r="F5" s="4">
        <v>13.95</v>
      </c>
      <c r="G5" s="4">
        <v>10.87</v>
      </c>
      <c r="H5" s="4">
        <v>7.15</v>
      </c>
      <c r="I5" s="4">
        <v>80.900000000000006</v>
      </c>
      <c r="J5" s="4">
        <v>79.8</v>
      </c>
      <c r="K5" s="4">
        <v>86.7</v>
      </c>
      <c r="L5" s="4">
        <f>AVERAGE(I5:K5)</f>
        <v>82.466666666666654</v>
      </c>
      <c r="M5" s="4">
        <v>91.3</v>
      </c>
      <c r="N5" s="4">
        <v>100</v>
      </c>
      <c r="O5" s="4">
        <v>76.400000000000006</v>
      </c>
      <c r="P5" s="4">
        <f>AVERAGE(M5:O5)</f>
        <v>89.233333333333348</v>
      </c>
      <c r="Q5" s="4">
        <v>50.2</v>
      </c>
      <c r="R5" s="4">
        <v>50.8</v>
      </c>
      <c r="S5" s="4">
        <f>AVERAGE(Q5:R5)</f>
        <v>50.5</v>
      </c>
    </row>
    <row r="6" spans="1:19" x14ac:dyDescent="0.3">
      <c r="A6" s="10" t="s">
        <v>15</v>
      </c>
      <c r="B6" s="11">
        <v>5</v>
      </c>
      <c r="C6" s="11">
        <v>1</v>
      </c>
      <c r="D6" s="10" t="s">
        <v>20</v>
      </c>
      <c r="E6" s="4">
        <v>10.92</v>
      </c>
      <c r="F6" s="4">
        <v>10.33</v>
      </c>
      <c r="G6" s="4">
        <v>10.119999999999999</v>
      </c>
      <c r="H6" s="4">
        <v>5.84</v>
      </c>
      <c r="I6" s="4">
        <v>95.2</v>
      </c>
      <c r="J6" s="4">
        <v>95.8</v>
      </c>
      <c r="K6" s="4">
        <v>83.7</v>
      </c>
      <c r="L6" s="4">
        <f>AVERAGE(I6:K6)</f>
        <v>91.566666666666663</v>
      </c>
      <c r="M6" s="4">
        <v>96.7</v>
      </c>
      <c r="N6" s="4">
        <v>65.7</v>
      </c>
      <c r="O6" s="4">
        <v>88.3</v>
      </c>
      <c r="P6" s="4">
        <f>AVERAGE(M6:O6)</f>
        <v>83.566666666666663</v>
      </c>
      <c r="Q6" s="4">
        <v>37.799999999999997</v>
      </c>
      <c r="R6" s="4">
        <v>46.3</v>
      </c>
      <c r="S6" s="4">
        <f>AVERAGE(Q6:R6)</f>
        <v>42.05</v>
      </c>
    </row>
    <row r="7" spans="1:19" x14ac:dyDescent="0.3">
      <c r="A7" s="10" t="s">
        <v>15</v>
      </c>
      <c r="B7" s="11">
        <v>6</v>
      </c>
      <c r="C7" s="11">
        <v>1</v>
      </c>
      <c r="D7" s="10" t="s">
        <v>22</v>
      </c>
      <c r="E7" s="4">
        <v>8.24</v>
      </c>
      <c r="F7" s="4">
        <v>6.94</v>
      </c>
      <c r="G7" s="4">
        <v>12.64</v>
      </c>
      <c r="H7" s="4">
        <v>5.23</v>
      </c>
      <c r="I7" s="4">
        <v>47.4</v>
      </c>
      <c r="J7" s="4">
        <v>76.2</v>
      </c>
      <c r="K7" s="4">
        <v>72.400000000000006</v>
      </c>
      <c r="L7" s="4">
        <f>AVERAGE(I7:K7)</f>
        <v>65.333333333333329</v>
      </c>
      <c r="M7" s="4">
        <v>97.3</v>
      </c>
      <c r="N7" s="4">
        <v>62.3</v>
      </c>
      <c r="O7" s="4">
        <v>71.2</v>
      </c>
      <c r="P7" s="4">
        <f>AVERAGE(M7:O7)</f>
        <v>76.933333333333337</v>
      </c>
      <c r="Q7" s="4">
        <v>98.5</v>
      </c>
      <c r="R7" s="4">
        <v>95.2</v>
      </c>
      <c r="S7" s="4">
        <f t="shared" ref="S7:S70" si="0">AVERAGE(Q7:R7)</f>
        <v>96.85</v>
      </c>
    </row>
    <row r="8" spans="1:19" x14ac:dyDescent="0.3">
      <c r="A8" s="10" t="s">
        <v>15</v>
      </c>
      <c r="B8" s="11">
        <v>7</v>
      </c>
      <c r="C8" s="11">
        <v>1</v>
      </c>
      <c r="D8" s="10" t="s">
        <v>22</v>
      </c>
      <c r="E8" s="4">
        <v>7.92</v>
      </c>
      <c r="F8" s="4">
        <v>13.76</v>
      </c>
      <c r="G8" s="4">
        <v>12.23</v>
      </c>
      <c r="H8" s="4">
        <v>1.57</v>
      </c>
      <c r="I8" s="4">
        <v>62.9</v>
      </c>
      <c r="J8" s="4">
        <v>41.5</v>
      </c>
      <c r="K8" s="4">
        <v>56.7</v>
      </c>
      <c r="L8" s="4">
        <f>AVERAGE(I8:K8)</f>
        <v>53.70000000000001</v>
      </c>
      <c r="M8" s="4">
        <v>56.7</v>
      </c>
      <c r="N8" s="4">
        <v>84.5</v>
      </c>
      <c r="O8" s="4">
        <v>50.3</v>
      </c>
      <c r="P8" s="4">
        <f>AVERAGE(M8:O8)</f>
        <v>63.833333333333336</v>
      </c>
      <c r="Q8" s="4">
        <v>87.2</v>
      </c>
      <c r="R8" s="4">
        <v>95</v>
      </c>
      <c r="S8" s="4">
        <f t="shared" si="0"/>
        <v>91.1</v>
      </c>
    </row>
    <row r="9" spans="1:19" x14ac:dyDescent="0.3">
      <c r="A9" s="10" t="s">
        <v>15</v>
      </c>
      <c r="B9" s="11">
        <v>8</v>
      </c>
      <c r="C9" s="11">
        <v>1</v>
      </c>
      <c r="D9" s="10" t="s">
        <v>20</v>
      </c>
      <c r="E9" s="4">
        <v>11.68</v>
      </c>
      <c r="F9" s="4">
        <v>9.08</v>
      </c>
      <c r="G9" s="4">
        <v>9.7799999999999994</v>
      </c>
      <c r="H9" s="4">
        <v>0.13</v>
      </c>
      <c r="I9" s="4">
        <v>92.4</v>
      </c>
      <c r="J9" s="4">
        <v>92.3</v>
      </c>
      <c r="K9" s="4">
        <v>87.2</v>
      </c>
      <c r="L9" s="4">
        <f>AVERAGE(I9:K9)</f>
        <v>90.633333333333326</v>
      </c>
      <c r="M9" s="4">
        <v>82.3</v>
      </c>
      <c r="N9" s="4">
        <v>88.9</v>
      </c>
      <c r="O9" s="4">
        <v>97.9</v>
      </c>
      <c r="P9" s="4">
        <f>AVERAGE(M9:O9)</f>
        <v>89.7</v>
      </c>
      <c r="Q9" s="4">
        <v>79.3</v>
      </c>
      <c r="R9" s="4">
        <v>47.8</v>
      </c>
      <c r="S9" s="4">
        <f t="shared" si="0"/>
        <v>63.55</v>
      </c>
    </row>
    <row r="10" spans="1:19" x14ac:dyDescent="0.3">
      <c r="A10" s="10" t="s">
        <v>15</v>
      </c>
      <c r="B10" s="11">
        <v>9</v>
      </c>
      <c r="C10" s="11">
        <v>1</v>
      </c>
      <c r="D10" s="10" t="s">
        <v>22</v>
      </c>
      <c r="E10" s="4">
        <v>7.45</v>
      </c>
      <c r="F10" s="4">
        <v>8.4499999999999993</v>
      </c>
      <c r="G10" s="4">
        <v>11.93</v>
      </c>
      <c r="H10" s="4">
        <v>8.92</v>
      </c>
      <c r="I10" s="4">
        <v>41.2</v>
      </c>
      <c r="J10" s="4">
        <v>59.7</v>
      </c>
      <c r="K10" s="4">
        <v>80.900000000000006</v>
      </c>
      <c r="L10" s="4">
        <f>AVERAGE(I10:K10)</f>
        <v>60.6</v>
      </c>
      <c r="M10" s="4">
        <v>89.2</v>
      </c>
      <c r="N10" s="4">
        <v>78.099999999999994</v>
      </c>
      <c r="O10" s="4">
        <v>62.1</v>
      </c>
      <c r="P10" s="4">
        <f>AVERAGE(M10:O10)</f>
        <v>76.466666666666669</v>
      </c>
      <c r="Q10" s="4">
        <v>92.1</v>
      </c>
      <c r="R10" s="4">
        <v>99.6</v>
      </c>
      <c r="S10" s="4">
        <f t="shared" si="0"/>
        <v>95.85</v>
      </c>
    </row>
    <row r="11" spans="1:19" x14ac:dyDescent="0.3">
      <c r="A11" s="10" t="s">
        <v>15</v>
      </c>
      <c r="B11" s="11">
        <v>10</v>
      </c>
      <c r="C11" s="11">
        <v>1</v>
      </c>
      <c r="D11" s="10" t="s">
        <v>20</v>
      </c>
      <c r="E11" s="4">
        <v>12.36</v>
      </c>
      <c r="F11" s="4">
        <v>13.12</v>
      </c>
      <c r="G11" s="4">
        <v>11.01</v>
      </c>
      <c r="H11" s="4">
        <v>7.94</v>
      </c>
      <c r="I11" s="4">
        <v>86.9</v>
      </c>
      <c r="J11" s="4">
        <v>96.7</v>
      </c>
      <c r="K11" s="4">
        <v>85.6</v>
      </c>
      <c r="L11" s="4">
        <f>AVERAGE(I11:K11)</f>
        <v>89.733333333333348</v>
      </c>
      <c r="M11" s="4">
        <v>89.1</v>
      </c>
      <c r="N11" s="4">
        <v>73.400000000000006</v>
      </c>
      <c r="O11" s="4">
        <v>91.7</v>
      </c>
      <c r="P11" s="4">
        <f>AVERAGE(M11:O11)</f>
        <v>84.733333333333334</v>
      </c>
      <c r="Q11" s="4">
        <v>61.4</v>
      </c>
      <c r="R11" s="4">
        <v>71.400000000000006</v>
      </c>
      <c r="S11" s="4">
        <f t="shared" si="0"/>
        <v>66.400000000000006</v>
      </c>
    </row>
    <row r="12" spans="1:19" x14ac:dyDescent="0.3">
      <c r="A12" s="10" t="s">
        <v>15</v>
      </c>
      <c r="B12" s="11">
        <v>11</v>
      </c>
      <c r="C12" s="11">
        <v>1</v>
      </c>
      <c r="D12" s="10" t="s">
        <v>22</v>
      </c>
      <c r="E12" s="4">
        <v>8.08</v>
      </c>
      <c r="F12" s="4">
        <v>7.78</v>
      </c>
      <c r="G12" s="4">
        <v>12.86</v>
      </c>
      <c r="H12" s="4">
        <v>6.11</v>
      </c>
      <c r="I12" s="4">
        <v>68.599999999999994</v>
      </c>
      <c r="J12" s="4">
        <v>83.1</v>
      </c>
      <c r="K12" s="4">
        <v>94.1</v>
      </c>
      <c r="L12" s="4">
        <f>AVERAGE(I12:K12)</f>
        <v>81.933333333333323</v>
      </c>
      <c r="M12" s="4">
        <v>82.5</v>
      </c>
      <c r="N12" s="4">
        <v>93.2</v>
      </c>
      <c r="O12" s="4">
        <v>43.5</v>
      </c>
      <c r="P12" s="4">
        <f>AVERAGE(M12:O12)</f>
        <v>73.066666666666663</v>
      </c>
      <c r="Q12" s="4">
        <v>92.7</v>
      </c>
      <c r="R12" s="4">
        <v>78.400000000000006</v>
      </c>
      <c r="S12" s="4">
        <f t="shared" si="0"/>
        <v>85.550000000000011</v>
      </c>
    </row>
    <row r="13" spans="1:19" x14ac:dyDescent="0.3">
      <c r="A13" s="10" t="s">
        <v>15</v>
      </c>
      <c r="B13" s="11">
        <v>12</v>
      </c>
      <c r="C13" s="11">
        <v>1</v>
      </c>
      <c r="D13" s="10" t="s">
        <v>22</v>
      </c>
      <c r="E13" s="4">
        <v>9.06</v>
      </c>
      <c r="F13" s="4">
        <v>7.29</v>
      </c>
      <c r="G13" s="4">
        <v>12.04</v>
      </c>
      <c r="H13" s="4">
        <v>2.34</v>
      </c>
      <c r="I13" s="4">
        <v>81.7</v>
      </c>
      <c r="J13" s="4">
        <v>90.3</v>
      </c>
      <c r="K13" s="4">
        <v>69.2</v>
      </c>
      <c r="L13" s="4">
        <f>AVERAGE(I13:K13)</f>
        <v>80.399999999999991</v>
      </c>
      <c r="M13" s="4">
        <v>91.8</v>
      </c>
      <c r="N13" s="4">
        <v>72.400000000000006</v>
      </c>
      <c r="O13" s="4">
        <v>65.400000000000006</v>
      </c>
      <c r="P13" s="4">
        <f>AVERAGE(M13:O13)</f>
        <v>76.533333333333331</v>
      </c>
      <c r="Q13" s="4">
        <v>97.5</v>
      </c>
      <c r="R13" s="4">
        <v>95.7</v>
      </c>
      <c r="S13" s="4">
        <f t="shared" si="0"/>
        <v>96.6</v>
      </c>
    </row>
    <row r="14" spans="1:19" x14ac:dyDescent="0.3">
      <c r="A14" s="10" t="s">
        <v>15</v>
      </c>
      <c r="B14" s="11">
        <v>13</v>
      </c>
      <c r="C14" s="11">
        <v>1</v>
      </c>
      <c r="D14" s="10" t="s">
        <v>22</v>
      </c>
      <c r="E14" s="4">
        <v>7.82</v>
      </c>
      <c r="F14" s="4">
        <v>7.62</v>
      </c>
      <c r="G14" s="4">
        <v>12.89</v>
      </c>
      <c r="H14" s="4">
        <v>0.97</v>
      </c>
      <c r="I14" s="4">
        <v>75.8</v>
      </c>
      <c r="J14" s="4">
        <v>52.8</v>
      </c>
      <c r="K14" s="4">
        <v>62.3</v>
      </c>
      <c r="L14" s="4">
        <f>AVERAGE(I14:K14)</f>
        <v>63.633333333333326</v>
      </c>
      <c r="M14" s="4">
        <v>77.400000000000006</v>
      </c>
      <c r="N14" s="4">
        <v>56.7</v>
      </c>
      <c r="O14" s="4">
        <v>79.7</v>
      </c>
      <c r="P14" s="4">
        <f>AVERAGE(M14:O14)</f>
        <v>71.266666666666666</v>
      </c>
      <c r="Q14" s="4">
        <v>78.900000000000006</v>
      </c>
      <c r="R14" s="4">
        <v>92.6</v>
      </c>
      <c r="S14" s="4">
        <f t="shared" si="0"/>
        <v>85.75</v>
      </c>
    </row>
    <row r="15" spans="1:19" x14ac:dyDescent="0.3">
      <c r="A15" s="10" t="s">
        <v>15</v>
      </c>
      <c r="B15" s="11">
        <v>14</v>
      </c>
      <c r="C15" s="11">
        <v>1</v>
      </c>
      <c r="D15" s="10" t="s">
        <v>22</v>
      </c>
      <c r="E15" s="4">
        <v>8.57</v>
      </c>
      <c r="F15" s="4">
        <v>8.1300000000000008</v>
      </c>
      <c r="G15" s="4">
        <v>13.01</v>
      </c>
      <c r="H15" s="4">
        <v>3.68</v>
      </c>
      <c r="I15" s="4">
        <v>53.3</v>
      </c>
      <c r="J15" s="4">
        <v>64.900000000000006</v>
      </c>
      <c r="K15" s="4">
        <v>75.599999999999994</v>
      </c>
      <c r="L15" s="4">
        <f>AVERAGE(I15:K15)</f>
        <v>64.600000000000009</v>
      </c>
      <c r="M15" s="4">
        <v>66.900000000000006</v>
      </c>
      <c r="N15" s="4">
        <v>88.9</v>
      </c>
      <c r="O15" s="4">
        <v>52.8</v>
      </c>
      <c r="P15" s="4">
        <f>AVERAGE(M15:O15)</f>
        <v>69.533333333333346</v>
      </c>
      <c r="Q15" s="4">
        <v>83.4</v>
      </c>
      <c r="R15" s="4">
        <v>93.7</v>
      </c>
      <c r="S15" s="4">
        <f t="shared" si="0"/>
        <v>88.550000000000011</v>
      </c>
    </row>
    <row r="16" spans="1:19" x14ac:dyDescent="0.3">
      <c r="A16" s="10" t="s">
        <v>15</v>
      </c>
      <c r="B16" s="11">
        <v>15</v>
      </c>
      <c r="C16" s="11">
        <v>1</v>
      </c>
      <c r="D16" s="10" t="s">
        <v>20</v>
      </c>
      <c r="E16" s="4">
        <v>12.06</v>
      </c>
      <c r="F16" s="5">
        <v>10.06</v>
      </c>
      <c r="G16" s="4">
        <v>9.94</v>
      </c>
      <c r="H16" s="4">
        <v>4.45</v>
      </c>
      <c r="I16" s="4">
        <v>91.3</v>
      </c>
      <c r="J16" s="4">
        <v>94.2</v>
      </c>
      <c r="K16" s="4">
        <v>90.1</v>
      </c>
      <c r="L16" s="4">
        <f>AVERAGE(I16:K16)</f>
        <v>91.866666666666674</v>
      </c>
      <c r="M16" s="4">
        <v>72.8</v>
      </c>
      <c r="N16" s="4">
        <v>60.2</v>
      </c>
      <c r="O16" s="4">
        <v>78.2</v>
      </c>
      <c r="P16" s="4">
        <f>AVERAGE(M16:O16)</f>
        <v>70.399999999999991</v>
      </c>
      <c r="Q16" s="4">
        <v>70.599999999999994</v>
      </c>
      <c r="R16" s="4">
        <v>74.8</v>
      </c>
      <c r="S16" s="4">
        <f t="shared" si="0"/>
        <v>72.699999999999989</v>
      </c>
    </row>
    <row r="17" spans="1:19" x14ac:dyDescent="0.3">
      <c r="A17" s="10" t="s">
        <v>15</v>
      </c>
      <c r="B17" s="11">
        <v>16</v>
      </c>
      <c r="C17" s="11">
        <v>1</v>
      </c>
      <c r="D17" s="10" t="s">
        <v>20</v>
      </c>
      <c r="E17" s="4">
        <v>11.89</v>
      </c>
      <c r="F17" s="5">
        <v>9.6300000000000008</v>
      </c>
      <c r="G17" s="4">
        <v>10.59</v>
      </c>
      <c r="H17" s="4">
        <v>2.4500000000000002</v>
      </c>
      <c r="I17" s="4">
        <v>88.5</v>
      </c>
      <c r="J17" s="4">
        <v>93.5</v>
      </c>
      <c r="K17" s="4">
        <v>88.4</v>
      </c>
      <c r="L17" s="4">
        <f>AVERAGE(I17:K17)</f>
        <v>90.133333333333326</v>
      </c>
      <c r="M17" s="4">
        <v>63.4</v>
      </c>
      <c r="N17" s="4">
        <v>96.1</v>
      </c>
      <c r="O17" s="4">
        <v>96</v>
      </c>
      <c r="P17" s="4">
        <f>AVERAGE(M17:O17)</f>
        <v>85.166666666666671</v>
      </c>
      <c r="Q17" s="4">
        <v>94.5</v>
      </c>
      <c r="R17" s="4">
        <v>78.900000000000006</v>
      </c>
      <c r="S17" s="4">
        <f t="shared" si="0"/>
        <v>86.7</v>
      </c>
    </row>
    <row r="18" spans="1:19" x14ac:dyDescent="0.3">
      <c r="A18" s="10" t="s">
        <v>15</v>
      </c>
      <c r="B18" s="11">
        <v>17</v>
      </c>
      <c r="C18" s="11">
        <v>1</v>
      </c>
      <c r="D18" s="10" t="s">
        <v>20</v>
      </c>
      <c r="E18" s="4">
        <v>11.23</v>
      </c>
      <c r="F18" s="5">
        <v>8.8699999999999992</v>
      </c>
      <c r="G18" s="4">
        <v>10.38</v>
      </c>
      <c r="H18" s="4">
        <v>9</v>
      </c>
      <c r="I18" s="4">
        <v>94.7</v>
      </c>
      <c r="J18" s="4">
        <v>96.9</v>
      </c>
      <c r="K18" s="4">
        <v>82.9</v>
      </c>
      <c r="L18" s="4">
        <f>AVERAGE(I18:K18)</f>
        <v>91.5</v>
      </c>
      <c r="M18" s="4">
        <v>90.5</v>
      </c>
      <c r="N18" s="4">
        <v>70.8</v>
      </c>
      <c r="O18" s="4">
        <v>94.1</v>
      </c>
      <c r="P18" s="4">
        <f>AVERAGE(M18:O18)</f>
        <v>85.13333333333334</v>
      </c>
      <c r="Q18" s="4">
        <v>74.900000000000006</v>
      </c>
      <c r="R18" s="4">
        <v>39.700000000000003</v>
      </c>
      <c r="S18" s="4">
        <f t="shared" si="0"/>
        <v>57.300000000000004</v>
      </c>
    </row>
    <row r="19" spans="1:19" x14ac:dyDescent="0.3">
      <c r="A19" s="10" t="s">
        <v>15</v>
      </c>
      <c r="B19" s="11">
        <v>18</v>
      </c>
      <c r="C19" s="11">
        <v>1</v>
      </c>
      <c r="D19" s="10" t="s">
        <v>20</v>
      </c>
      <c r="E19" s="4">
        <v>11.42</v>
      </c>
      <c r="F19" s="5">
        <v>9.2899999999999991</v>
      </c>
      <c r="G19" s="4">
        <v>9.7899999999999991</v>
      </c>
      <c r="H19" s="4">
        <v>3.76</v>
      </c>
      <c r="I19" s="4">
        <v>97.1</v>
      </c>
      <c r="J19" s="4">
        <v>93.1</v>
      </c>
      <c r="K19" s="4">
        <v>85.8</v>
      </c>
      <c r="L19" s="4">
        <f>AVERAGE(I19:K19)</f>
        <v>92</v>
      </c>
      <c r="M19" s="4">
        <v>79.2</v>
      </c>
      <c r="N19" s="4">
        <v>77.3</v>
      </c>
      <c r="O19" s="4">
        <v>89.8</v>
      </c>
      <c r="P19" s="4">
        <f>AVERAGE(M19:O19)</f>
        <v>82.100000000000009</v>
      </c>
      <c r="Q19" s="4">
        <v>62.7</v>
      </c>
      <c r="R19" s="4">
        <v>88.2</v>
      </c>
      <c r="S19" s="4">
        <f t="shared" si="0"/>
        <v>75.45</v>
      </c>
    </row>
    <row r="20" spans="1:19" x14ac:dyDescent="0.3">
      <c r="A20" s="10" t="s">
        <v>15</v>
      </c>
      <c r="B20" s="11">
        <v>19</v>
      </c>
      <c r="C20" s="11">
        <v>1</v>
      </c>
      <c r="D20" s="10" t="s">
        <v>21</v>
      </c>
      <c r="E20" s="4">
        <v>10.75</v>
      </c>
      <c r="F20" s="4">
        <v>13.48</v>
      </c>
      <c r="G20" s="4">
        <v>11.31</v>
      </c>
      <c r="H20" s="4">
        <v>4.76</v>
      </c>
      <c r="I20" s="4">
        <v>73.5</v>
      </c>
      <c r="J20" s="4">
        <v>95.6</v>
      </c>
      <c r="K20" s="4">
        <v>97.8</v>
      </c>
      <c r="L20" s="4">
        <f>AVERAGE(I20:K20)</f>
        <v>88.966666666666654</v>
      </c>
      <c r="M20" s="4">
        <v>74.900000000000006</v>
      </c>
      <c r="N20" s="4">
        <v>75.3</v>
      </c>
      <c r="O20" s="4">
        <v>79.599999999999994</v>
      </c>
      <c r="P20" s="4">
        <f>AVERAGE(M20:O20)</f>
        <v>76.599999999999994</v>
      </c>
      <c r="Q20" s="4">
        <v>93.1</v>
      </c>
      <c r="R20" s="4">
        <v>75.900000000000006</v>
      </c>
      <c r="S20" s="4">
        <f t="shared" si="0"/>
        <v>84.5</v>
      </c>
    </row>
    <row r="21" spans="1:19" x14ac:dyDescent="0.3">
      <c r="A21" s="10" t="s">
        <v>15</v>
      </c>
      <c r="B21" s="11">
        <v>20</v>
      </c>
      <c r="C21" s="11">
        <v>1</v>
      </c>
      <c r="D21" s="10" t="s">
        <v>21</v>
      </c>
      <c r="E21" s="4">
        <v>9.2200000000000006</v>
      </c>
      <c r="F21" s="4">
        <v>13.03</v>
      </c>
      <c r="G21" s="4">
        <v>10.39</v>
      </c>
      <c r="H21" s="4">
        <v>2.0099999999999998</v>
      </c>
      <c r="I21" s="4">
        <v>81.3</v>
      </c>
      <c r="J21" s="4">
        <v>58.7</v>
      </c>
      <c r="K21" s="4">
        <v>83.1</v>
      </c>
      <c r="L21" s="4">
        <f>AVERAGE(I21:K21)</f>
        <v>74.36666666666666</v>
      </c>
      <c r="M21" s="4">
        <v>89.1</v>
      </c>
      <c r="N21" s="4">
        <v>88.5</v>
      </c>
      <c r="O21" s="4">
        <v>88.7</v>
      </c>
      <c r="P21" s="4">
        <f>AVERAGE(M21:O21)</f>
        <v>88.766666666666666</v>
      </c>
      <c r="Q21" s="4">
        <v>12.7</v>
      </c>
      <c r="R21" s="4">
        <v>87.5</v>
      </c>
      <c r="S21" s="4">
        <f t="shared" si="0"/>
        <v>50.1</v>
      </c>
    </row>
    <row r="22" spans="1:19" x14ac:dyDescent="0.3">
      <c r="A22" s="10" t="s">
        <v>16</v>
      </c>
      <c r="B22" s="11">
        <v>21</v>
      </c>
      <c r="C22" s="11">
        <v>2</v>
      </c>
      <c r="D22" s="10" t="s">
        <v>20</v>
      </c>
      <c r="E22" s="4">
        <v>11.86</v>
      </c>
      <c r="F22" s="5">
        <v>9.4700000000000006</v>
      </c>
      <c r="G22" s="4">
        <v>9.9</v>
      </c>
      <c r="H22" s="4">
        <v>1.65</v>
      </c>
      <c r="I22" s="4">
        <v>89.6</v>
      </c>
      <c r="J22" s="4">
        <v>94.7</v>
      </c>
      <c r="K22" s="4">
        <v>81.5</v>
      </c>
      <c r="L22" s="4">
        <f>AVERAGE(I22:K22)</f>
        <v>88.600000000000009</v>
      </c>
      <c r="M22" s="4">
        <v>85.9</v>
      </c>
      <c r="N22" s="4">
        <v>68.099999999999994</v>
      </c>
      <c r="O22" s="4">
        <v>82.6</v>
      </c>
      <c r="P22" s="4">
        <f>AVERAGE(M22:O22)</f>
        <v>78.86666666666666</v>
      </c>
      <c r="Q22" s="4">
        <v>88.1</v>
      </c>
      <c r="R22" s="4">
        <v>30.6</v>
      </c>
      <c r="S22" s="4">
        <f t="shared" si="0"/>
        <v>59.349999999999994</v>
      </c>
    </row>
    <row r="23" spans="1:19" x14ac:dyDescent="0.3">
      <c r="A23" s="10" t="s">
        <v>16</v>
      </c>
      <c r="B23" s="11">
        <v>22</v>
      </c>
      <c r="C23" s="11">
        <v>2</v>
      </c>
      <c r="D23" s="10" t="s">
        <v>22</v>
      </c>
      <c r="E23" s="4">
        <v>8.91</v>
      </c>
      <c r="F23" s="4">
        <v>14.03</v>
      </c>
      <c r="G23" s="4">
        <v>12.1</v>
      </c>
      <c r="H23" s="4">
        <v>7.79</v>
      </c>
      <c r="I23" s="4">
        <v>90.1</v>
      </c>
      <c r="J23" s="4">
        <v>71.400000000000006</v>
      </c>
      <c r="K23" s="4">
        <v>68.5</v>
      </c>
      <c r="L23" s="4">
        <f>AVERAGE(I23:K23)</f>
        <v>76.666666666666671</v>
      </c>
      <c r="M23" s="4">
        <v>85.7</v>
      </c>
      <c r="N23" s="4">
        <v>76.2</v>
      </c>
      <c r="O23" s="4">
        <v>89.6</v>
      </c>
      <c r="P23" s="4">
        <f>AVERAGE(M23:O23)</f>
        <v>83.833333333333329</v>
      </c>
      <c r="Q23" s="4">
        <v>91.4</v>
      </c>
      <c r="R23" s="4">
        <v>97.9</v>
      </c>
      <c r="S23" s="4">
        <f t="shared" si="0"/>
        <v>94.65</v>
      </c>
    </row>
    <row r="24" spans="1:19" x14ac:dyDescent="0.3">
      <c r="A24" s="10" t="s">
        <v>16</v>
      </c>
      <c r="B24" s="11">
        <v>23</v>
      </c>
      <c r="C24" s="11">
        <v>2</v>
      </c>
      <c r="D24" s="10" t="s">
        <v>21</v>
      </c>
      <c r="E24" s="4">
        <v>10.39</v>
      </c>
      <c r="F24" s="4">
        <v>14.11</v>
      </c>
      <c r="G24" s="4">
        <v>11.02</v>
      </c>
      <c r="H24" s="4">
        <v>8.64</v>
      </c>
      <c r="I24" s="4">
        <v>65.8</v>
      </c>
      <c r="J24" s="4">
        <v>88.1</v>
      </c>
      <c r="K24" s="4">
        <v>69.400000000000006</v>
      </c>
      <c r="L24" s="4">
        <f>AVERAGE(I24:K24)</f>
        <v>74.433333333333323</v>
      </c>
      <c r="M24" s="4">
        <v>102.5</v>
      </c>
      <c r="N24" s="4">
        <v>92.1</v>
      </c>
      <c r="O24" s="4">
        <v>73.5</v>
      </c>
      <c r="P24" s="4">
        <f>AVERAGE(M24:O24)</f>
        <v>89.366666666666674</v>
      </c>
      <c r="Q24" s="4">
        <v>69.8</v>
      </c>
      <c r="R24" s="4">
        <v>30.4</v>
      </c>
      <c r="S24" s="4">
        <f t="shared" si="0"/>
        <v>50.099999999999994</v>
      </c>
    </row>
    <row r="25" spans="1:19" x14ac:dyDescent="0.3">
      <c r="A25" s="10" t="s">
        <v>16</v>
      </c>
      <c r="B25" s="11">
        <v>24</v>
      </c>
      <c r="C25" s="11">
        <v>2</v>
      </c>
      <c r="D25" s="10" t="s">
        <v>22</v>
      </c>
      <c r="E25" s="4">
        <v>8.19</v>
      </c>
      <c r="F25" s="4">
        <v>6.89</v>
      </c>
      <c r="G25" s="4">
        <v>13.24</v>
      </c>
      <c r="H25" s="4">
        <v>4.12</v>
      </c>
      <c r="I25" s="4">
        <v>61.5</v>
      </c>
      <c r="J25" s="4">
        <v>29.6</v>
      </c>
      <c r="K25" s="4">
        <v>88.9</v>
      </c>
      <c r="L25" s="4">
        <f>AVERAGE(I25:K25)</f>
        <v>60</v>
      </c>
      <c r="M25" s="4">
        <v>72.3</v>
      </c>
      <c r="N25" s="4">
        <v>69.8</v>
      </c>
      <c r="O25" s="4">
        <v>58.7</v>
      </c>
      <c r="P25" s="4">
        <f>AVERAGE(M25:O25)</f>
        <v>66.933333333333337</v>
      </c>
      <c r="Q25" s="4">
        <v>95.7</v>
      </c>
      <c r="R25" s="4">
        <v>93.8</v>
      </c>
      <c r="S25" s="4">
        <f t="shared" si="0"/>
        <v>94.75</v>
      </c>
    </row>
    <row r="26" spans="1:19" x14ac:dyDescent="0.3">
      <c r="A26" s="10" t="s">
        <v>16</v>
      </c>
      <c r="B26" s="11">
        <v>25</v>
      </c>
      <c r="C26" s="11">
        <v>2</v>
      </c>
      <c r="D26" s="10" t="s">
        <v>22</v>
      </c>
      <c r="E26" s="4">
        <v>7.68</v>
      </c>
      <c r="F26" s="4">
        <v>7.44</v>
      </c>
      <c r="G26" s="4">
        <v>12.39</v>
      </c>
      <c r="H26" s="4">
        <v>2.87</v>
      </c>
      <c r="I26" s="4">
        <v>29.6</v>
      </c>
      <c r="J26" s="4">
        <v>87.2</v>
      </c>
      <c r="K26" s="4">
        <v>78.3</v>
      </c>
      <c r="L26" s="4">
        <f>AVERAGE(I26:K26)</f>
        <v>65.033333333333346</v>
      </c>
      <c r="M26" s="4">
        <v>88.6</v>
      </c>
      <c r="N26" s="4">
        <v>100</v>
      </c>
      <c r="O26" s="4">
        <v>70.8</v>
      </c>
      <c r="P26" s="4">
        <f>AVERAGE(M26:O26)</f>
        <v>86.466666666666654</v>
      </c>
      <c r="Q26" s="4">
        <v>91.9</v>
      </c>
      <c r="R26" s="4">
        <v>88.5</v>
      </c>
      <c r="S26" s="4">
        <f t="shared" si="0"/>
        <v>90.2</v>
      </c>
    </row>
    <row r="27" spans="1:19" x14ac:dyDescent="0.3">
      <c r="A27" s="10" t="s">
        <v>16</v>
      </c>
      <c r="B27" s="11">
        <v>26</v>
      </c>
      <c r="C27" s="11">
        <v>2</v>
      </c>
      <c r="D27" s="10" t="s">
        <v>22</v>
      </c>
      <c r="E27" s="4">
        <v>8.1199999999999992</v>
      </c>
      <c r="F27" s="4">
        <v>7.86</v>
      </c>
      <c r="G27" s="4">
        <v>12.7</v>
      </c>
      <c r="H27" s="4">
        <v>6.45</v>
      </c>
      <c r="I27" s="4">
        <v>73.900000000000006</v>
      </c>
      <c r="J27" s="4">
        <v>91.9</v>
      </c>
      <c r="K27" s="4">
        <v>84.7</v>
      </c>
      <c r="L27" s="4">
        <f>AVERAGE(I27:K27)</f>
        <v>83.5</v>
      </c>
      <c r="M27" s="4">
        <v>76.2</v>
      </c>
      <c r="N27" s="4">
        <v>64.5</v>
      </c>
      <c r="O27" s="4">
        <v>93.9</v>
      </c>
      <c r="P27" s="4">
        <f>AVERAGE(M27:O27)</f>
        <v>78.2</v>
      </c>
      <c r="Q27" s="4">
        <v>96.1</v>
      </c>
      <c r="R27" s="4">
        <v>94.2</v>
      </c>
      <c r="S27" s="4">
        <f t="shared" si="0"/>
        <v>95.15</v>
      </c>
    </row>
    <row r="28" spans="1:19" x14ac:dyDescent="0.3">
      <c r="A28" s="10" t="s">
        <v>16</v>
      </c>
      <c r="B28" s="11">
        <v>27</v>
      </c>
      <c r="C28" s="11">
        <v>2</v>
      </c>
      <c r="D28" s="10" t="s">
        <v>21</v>
      </c>
      <c r="E28" s="4">
        <v>10.62</v>
      </c>
      <c r="F28" s="4">
        <v>11.89</v>
      </c>
      <c r="G28" s="4">
        <v>10.25</v>
      </c>
      <c r="H28" s="4">
        <v>3.09</v>
      </c>
      <c r="I28" s="4">
        <v>72.099999999999994</v>
      </c>
      <c r="J28" s="4">
        <v>66.900000000000006</v>
      </c>
      <c r="K28" s="4">
        <v>82.7</v>
      </c>
      <c r="L28" s="4">
        <f>AVERAGE(I28:K28)</f>
        <v>73.899999999999991</v>
      </c>
      <c r="M28" s="4">
        <v>98.3</v>
      </c>
      <c r="N28" s="4">
        <v>100</v>
      </c>
      <c r="O28" s="4">
        <v>99.1</v>
      </c>
      <c r="P28" s="4">
        <f>AVERAGE(M28:O28)</f>
        <v>99.133333333333326</v>
      </c>
      <c r="Q28" s="4">
        <v>83.9</v>
      </c>
      <c r="R28" s="4">
        <v>67.599999999999994</v>
      </c>
      <c r="S28" s="4">
        <f t="shared" si="0"/>
        <v>75.75</v>
      </c>
    </row>
    <row r="29" spans="1:19" x14ac:dyDescent="0.3">
      <c r="A29" s="10" t="s">
        <v>16</v>
      </c>
      <c r="B29" s="11">
        <v>28</v>
      </c>
      <c r="C29" s="11">
        <v>2</v>
      </c>
      <c r="D29" s="10" t="s">
        <v>22</v>
      </c>
      <c r="E29" s="4">
        <v>8.33</v>
      </c>
      <c r="F29" s="4">
        <v>7.29</v>
      </c>
      <c r="G29" s="4">
        <v>11.71</v>
      </c>
      <c r="H29" s="4">
        <v>9</v>
      </c>
      <c r="I29" s="4">
        <v>24.3</v>
      </c>
      <c r="J29" s="4">
        <v>63.4</v>
      </c>
      <c r="K29" s="4">
        <v>41.2</v>
      </c>
      <c r="L29" s="4">
        <f>AVERAGE(I29:K29)</f>
        <v>42.966666666666669</v>
      </c>
      <c r="M29" s="4">
        <v>95.1</v>
      </c>
      <c r="N29" s="4">
        <v>50.7</v>
      </c>
      <c r="O29" s="4">
        <v>38.1</v>
      </c>
      <c r="P29" s="4">
        <f>AVERAGE(M29:O29)</f>
        <v>61.300000000000004</v>
      </c>
      <c r="Q29" s="4">
        <v>93.2</v>
      </c>
      <c r="R29" s="4">
        <v>91.9</v>
      </c>
      <c r="S29" s="4">
        <f t="shared" si="0"/>
        <v>92.550000000000011</v>
      </c>
    </row>
    <row r="30" spans="1:19" x14ac:dyDescent="0.3">
      <c r="A30" s="10" t="s">
        <v>16</v>
      </c>
      <c r="B30" s="11">
        <v>29</v>
      </c>
      <c r="C30" s="11">
        <v>2</v>
      </c>
      <c r="D30" s="10" t="s">
        <v>21</v>
      </c>
      <c r="E30" s="4">
        <v>11.42</v>
      </c>
      <c r="F30" s="4">
        <v>13.78</v>
      </c>
      <c r="G30" s="4">
        <v>9.82</v>
      </c>
      <c r="H30" s="4">
        <v>1.94</v>
      </c>
      <c r="I30" s="4">
        <v>87.4</v>
      </c>
      <c r="J30" s="4">
        <v>89.5</v>
      </c>
      <c r="K30" s="4">
        <v>91.5</v>
      </c>
      <c r="L30" s="4">
        <f>AVERAGE(I30:K30)</f>
        <v>89.466666666666654</v>
      </c>
      <c r="M30" s="4">
        <v>80.400000000000006</v>
      </c>
      <c r="N30" s="4">
        <v>82.9</v>
      </c>
      <c r="O30" s="4">
        <v>100</v>
      </c>
      <c r="P30" s="4">
        <f>AVERAGE(M30:O30)</f>
        <v>87.766666666666666</v>
      </c>
      <c r="Q30" s="4">
        <v>67.400000000000006</v>
      </c>
      <c r="R30" s="4">
        <v>67.900000000000006</v>
      </c>
      <c r="S30" s="4">
        <f t="shared" si="0"/>
        <v>67.650000000000006</v>
      </c>
    </row>
    <row r="31" spans="1:19" x14ac:dyDescent="0.3">
      <c r="A31" s="10" t="s">
        <v>16</v>
      </c>
      <c r="B31" s="11">
        <v>30</v>
      </c>
      <c r="C31" s="11">
        <v>2</v>
      </c>
      <c r="D31" s="10" t="s">
        <v>21</v>
      </c>
      <c r="E31" s="4">
        <v>10.11</v>
      </c>
      <c r="F31" s="4">
        <v>14.35</v>
      </c>
      <c r="G31" s="4">
        <v>11.27</v>
      </c>
      <c r="H31" s="4">
        <v>6.78</v>
      </c>
      <c r="I31" s="4">
        <v>74.900000000000006</v>
      </c>
      <c r="J31" s="4">
        <v>74.3</v>
      </c>
      <c r="K31" s="4">
        <v>100</v>
      </c>
      <c r="L31" s="4">
        <f>AVERAGE(I31:K31)</f>
        <v>83.066666666666663</v>
      </c>
      <c r="M31" s="4">
        <v>92.7</v>
      </c>
      <c r="N31" s="4">
        <v>89.7</v>
      </c>
      <c r="O31" s="4">
        <v>90</v>
      </c>
      <c r="P31" s="4">
        <f>AVERAGE(M31:O31)</f>
        <v>90.8</v>
      </c>
      <c r="Q31" s="4">
        <v>58.6</v>
      </c>
      <c r="R31" s="4">
        <v>56.1</v>
      </c>
      <c r="S31" s="4">
        <f t="shared" si="0"/>
        <v>57.35</v>
      </c>
    </row>
    <row r="32" spans="1:19" x14ac:dyDescent="0.3">
      <c r="A32" s="10" t="s">
        <v>16</v>
      </c>
      <c r="B32" s="11">
        <v>31</v>
      </c>
      <c r="C32" s="11">
        <v>2</v>
      </c>
      <c r="D32" s="10" t="s">
        <v>22</v>
      </c>
      <c r="E32" s="4">
        <v>8.4700000000000006</v>
      </c>
      <c r="F32" s="4">
        <v>6.75</v>
      </c>
      <c r="G32" s="4">
        <v>12.69</v>
      </c>
      <c r="H32" s="4">
        <v>1.22</v>
      </c>
      <c r="I32" s="4">
        <v>53.8</v>
      </c>
      <c r="J32" s="4">
        <v>51.6</v>
      </c>
      <c r="K32" s="4">
        <v>77.8</v>
      </c>
      <c r="L32" s="4">
        <f>AVERAGE(I32:K32)</f>
        <v>61.066666666666663</v>
      </c>
      <c r="M32" s="4">
        <v>62.8</v>
      </c>
      <c r="N32" s="4">
        <v>68.900000000000006</v>
      </c>
      <c r="O32" s="4">
        <v>82.5</v>
      </c>
      <c r="P32" s="4">
        <f>AVERAGE(M32:O32)</f>
        <v>71.399999999999991</v>
      </c>
      <c r="Q32" s="4">
        <v>85.6</v>
      </c>
      <c r="R32" s="4">
        <v>93.1</v>
      </c>
      <c r="S32" s="4">
        <f t="shared" si="0"/>
        <v>89.35</v>
      </c>
    </row>
    <row r="33" spans="1:19" x14ac:dyDescent="0.3">
      <c r="A33" s="10" t="s">
        <v>16</v>
      </c>
      <c r="B33" s="11">
        <v>32</v>
      </c>
      <c r="C33" s="11">
        <v>2</v>
      </c>
      <c r="D33" s="10" t="s">
        <v>22</v>
      </c>
      <c r="E33" s="4">
        <v>8.6199999999999992</v>
      </c>
      <c r="F33" s="4">
        <v>8.08</v>
      </c>
      <c r="G33" s="4">
        <v>11.98</v>
      </c>
      <c r="H33" s="4">
        <v>3.88</v>
      </c>
      <c r="I33" s="4">
        <v>80.400000000000006</v>
      </c>
      <c r="J33" s="4">
        <v>42.3</v>
      </c>
      <c r="K33" s="4">
        <v>90.5</v>
      </c>
      <c r="L33" s="4">
        <f>AVERAGE(I33:K33)</f>
        <v>71.066666666666663</v>
      </c>
      <c r="M33" s="4">
        <v>94.7</v>
      </c>
      <c r="N33" s="4">
        <v>76.3</v>
      </c>
      <c r="O33" s="4">
        <v>61.7</v>
      </c>
      <c r="P33" s="4">
        <f>AVERAGE(M33:O33)</f>
        <v>77.566666666666663</v>
      </c>
      <c r="Q33" s="4">
        <v>100</v>
      </c>
      <c r="R33" s="4">
        <v>94.3</v>
      </c>
      <c r="S33" s="4">
        <f t="shared" si="0"/>
        <v>97.15</v>
      </c>
    </row>
    <row r="34" spans="1:19" x14ac:dyDescent="0.3">
      <c r="A34" s="10" t="s">
        <v>16</v>
      </c>
      <c r="B34" s="11">
        <v>33</v>
      </c>
      <c r="C34" s="11">
        <v>2</v>
      </c>
      <c r="D34" s="10" t="s">
        <v>20</v>
      </c>
      <c r="E34" s="4">
        <v>12.28</v>
      </c>
      <c r="F34" s="5">
        <v>9.75</v>
      </c>
      <c r="G34" s="4">
        <v>10.42</v>
      </c>
      <c r="H34" s="4">
        <v>6.22</v>
      </c>
      <c r="I34" s="4">
        <v>92.1</v>
      </c>
      <c r="J34" s="4">
        <v>98.2</v>
      </c>
      <c r="K34" s="4">
        <v>87.6</v>
      </c>
      <c r="L34" s="4">
        <f>AVERAGE(I34:K34)</f>
        <v>92.633333333333326</v>
      </c>
      <c r="M34" s="4">
        <v>93.4</v>
      </c>
      <c r="N34" s="4">
        <v>83.6</v>
      </c>
      <c r="O34" s="4">
        <v>98.5</v>
      </c>
      <c r="P34" s="4">
        <f>AVERAGE(M34:O34)</f>
        <v>91.833333333333329</v>
      </c>
      <c r="Q34" s="4">
        <v>43.9</v>
      </c>
      <c r="R34" s="4">
        <v>75.099999999999994</v>
      </c>
      <c r="S34" s="4">
        <f t="shared" si="0"/>
        <v>59.5</v>
      </c>
    </row>
    <row r="35" spans="1:19" x14ac:dyDescent="0.3">
      <c r="A35" s="10" t="s">
        <v>16</v>
      </c>
      <c r="B35" s="11">
        <v>34</v>
      </c>
      <c r="C35" s="11">
        <v>2</v>
      </c>
      <c r="D35" s="10" t="s">
        <v>22</v>
      </c>
      <c r="E35" s="4">
        <v>8.02</v>
      </c>
      <c r="F35" s="4">
        <v>7.24</v>
      </c>
      <c r="G35" s="4">
        <v>13.16</v>
      </c>
      <c r="H35" s="4">
        <v>5.99</v>
      </c>
      <c r="I35" s="4">
        <v>64.900000000000006</v>
      </c>
      <c r="J35" s="4">
        <v>79.8</v>
      </c>
      <c r="K35" s="4">
        <v>62.1</v>
      </c>
      <c r="L35" s="4">
        <f>AVERAGE(I35:K35)</f>
        <v>68.933333333333323</v>
      </c>
      <c r="M35" s="4">
        <v>80.599999999999994</v>
      </c>
      <c r="N35" s="4">
        <v>94.7</v>
      </c>
      <c r="O35" s="4">
        <v>75.2</v>
      </c>
      <c r="P35" s="4">
        <f>AVERAGE(M35:O35)</f>
        <v>83.5</v>
      </c>
      <c r="Q35" s="4">
        <v>82.3</v>
      </c>
      <c r="R35" s="4">
        <v>98.1</v>
      </c>
      <c r="S35" s="4">
        <f t="shared" si="0"/>
        <v>90.199999999999989</v>
      </c>
    </row>
    <row r="36" spans="1:19" x14ac:dyDescent="0.3">
      <c r="A36" s="10" t="s">
        <v>16</v>
      </c>
      <c r="B36" s="11">
        <v>35</v>
      </c>
      <c r="C36" s="11">
        <v>2</v>
      </c>
      <c r="D36" s="10" t="s">
        <v>21</v>
      </c>
      <c r="E36" s="4">
        <v>10.18</v>
      </c>
      <c r="F36" s="4">
        <v>11.67</v>
      </c>
      <c r="G36" s="4">
        <v>11.48</v>
      </c>
      <c r="H36" s="4">
        <v>5.54</v>
      </c>
      <c r="I36" s="4">
        <v>69.7</v>
      </c>
      <c r="J36" s="4">
        <v>82.7</v>
      </c>
      <c r="K36" s="4">
        <v>68.900000000000006</v>
      </c>
      <c r="L36" s="4">
        <f>AVERAGE(I36:K36)</f>
        <v>73.766666666666666</v>
      </c>
      <c r="M36" s="4">
        <v>68.5</v>
      </c>
      <c r="N36" s="4">
        <v>78.599999999999994</v>
      </c>
      <c r="O36" s="4">
        <v>86.1</v>
      </c>
      <c r="P36" s="4">
        <f>AVERAGE(M36:O36)</f>
        <v>77.733333333333334</v>
      </c>
      <c r="Q36" s="4">
        <v>38.9</v>
      </c>
      <c r="R36" s="4">
        <v>80.599999999999994</v>
      </c>
      <c r="S36" s="4">
        <f t="shared" si="0"/>
        <v>59.75</v>
      </c>
    </row>
    <row r="37" spans="1:19" x14ac:dyDescent="0.3">
      <c r="A37" s="10" t="s">
        <v>16</v>
      </c>
      <c r="B37" s="11">
        <v>36</v>
      </c>
      <c r="C37" s="11">
        <v>2</v>
      </c>
      <c r="D37" s="10" t="s">
        <v>20</v>
      </c>
      <c r="E37" s="4">
        <v>13.06</v>
      </c>
      <c r="F37" s="5">
        <v>10.050000000000001</v>
      </c>
      <c r="G37" s="4">
        <v>10.27</v>
      </c>
      <c r="H37" s="4">
        <v>5.0599999999999996</v>
      </c>
      <c r="I37" s="4">
        <v>90.4</v>
      </c>
      <c r="J37" s="4">
        <v>95.4</v>
      </c>
      <c r="K37" s="4">
        <v>86.3</v>
      </c>
      <c r="L37" s="4">
        <f>AVERAGE(I37:K37)</f>
        <v>90.7</v>
      </c>
      <c r="M37" s="4">
        <v>76.099999999999994</v>
      </c>
      <c r="N37" s="4">
        <v>100</v>
      </c>
      <c r="O37" s="4">
        <v>92.1</v>
      </c>
      <c r="P37" s="4">
        <f>AVERAGE(M37:O37)</f>
        <v>89.399999999999991</v>
      </c>
      <c r="Q37" s="4">
        <v>67.2</v>
      </c>
      <c r="R37" s="4">
        <v>65.900000000000006</v>
      </c>
      <c r="S37" s="4">
        <f t="shared" si="0"/>
        <v>66.550000000000011</v>
      </c>
    </row>
    <row r="38" spans="1:19" x14ac:dyDescent="0.3">
      <c r="A38" s="10" t="s">
        <v>16</v>
      </c>
      <c r="B38" s="11">
        <v>37</v>
      </c>
      <c r="C38" s="11">
        <v>2</v>
      </c>
      <c r="D38" s="10" t="s">
        <v>21</v>
      </c>
      <c r="E38" s="4">
        <v>9.39</v>
      </c>
      <c r="F38" s="4">
        <v>13.69</v>
      </c>
      <c r="G38" s="4">
        <v>10.75</v>
      </c>
      <c r="H38" s="4">
        <v>9</v>
      </c>
      <c r="I38" s="4">
        <v>78.099999999999994</v>
      </c>
      <c r="J38" s="4">
        <v>92.9</v>
      </c>
      <c r="K38" s="4">
        <v>85.2</v>
      </c>
      <c r="L38" s="4">
        <f>AVERAGE(I38:K38)</f>
        <v>85.399999999999991</v>
      </c>
      <c r="M38" s="4">
        <v>105.8</v>
      </c>
      <c r="N38" s="4">
        <v>10.4</v>
      </c>
      <c r="O38" s="4">
        <v>94.7</v>
      </c>
      <c r="P38" s="4">
        <f>AVERAGE(M38:O38)</f>
        <v>70.3</v>
      </c>
      <c r="Q38" s="4">
        <v>88.2</v>
      </c>
      <c r="R38" s="4">
        <v>51.2</v>
      </c>
      <c r="S38" s="4">
        <f t="shared" si="0"/>
        <v>69.7</v>
      </c>
    </row>
    <row r="39" spans="1:19" x14ac:dyDescent="0.3">
      <c r="A39" s="10" t="s">
        <v>16</v>
      </c>
      <c r="B39" s="11">
        <v>38</v>
      </c>
      <c r="C39" s="11">
        <v>2</v>
      </c>
      <c r="D39" s="10" t="s">
        <v>22</v>
      </c>
      <c r="E39" s="4">
        <v>8.35</v>
      </c>
      <c r="F39" s="4">
        <v>8.17</v>
      </c>
      <c r="G39" s="4">
        <v>12.54</v>
      </c>
      <c r="H39" s="4">
        <v>0.51</v>
      </c>
      <c r="I39" s="4">
        <v>35.700000000000003</v>
      </c>
      <c r="J39" s="4">
        <v>99.1</v>
      </c>
      <c r="K39" s="4">
        <v>70.900000000000006</v>
      </c>
      <c r="L39" s="4">
        <f>AVERAGE(I39:K39)</f>
        <v>68.566666666666677</v>
      </c>
      <c r="M39" s="4">
        <v>64.900000000000006</v>
      </c>
      <c r="N39" s="4">
        <v>82.6</v>
      </c>
      <c r="O39" s="4">
        <v>44.8</v>
      </c>
      <c r="P39" s="4">
        <f>AVERAGE(M39:O39)</f>
        <v>64.100000000000009</v>
      </c>
      <c r="Q39" s="4">
        <v>100</v>
      </c>
      <c r="R39" s="4">
        <v>88.3</v>
      </c>
      <c r="S39" s="4">
        <f t="shared" si="0"/>
        <v>94.15</v>
      </c>
    </row>
    <row r="40" spans="1:19" x14ac:dyDescent="0.3">
      <c r="A40" s="10" t="s">
        <v>16</v>
      </c>
      <c r="B40" s="11">
        <v>39</v>
      </c>
      <c r="C40" s="11">
        <v>2</v>
      </c>
      <c r="D40" s="10" t="s">
        <v>20</v>
      </c>
      <c r="E40" s="4">
        <v>11.81</v>
      </c>
      <c r="F40" s="5">
        <v>9.92</v>
      </c>
      <c r="G40" s="4">
        <v>9.83</v>
      </c>
      <c r="H40" s="4">
        <v>8</v>
      </c>
      <c r="I40" s="4">
        <v>87.2</v>
      </c>
      <c r="J40" s="4">
        <v>97.1</v>
      </c>
      <c r="K40" s="4">
        <v>89.9</v>
      </c>
      <c r="L40" s="4">
        <f>AVERAGE(I40:K40)</f>
        <v>91.40000000000002</v>
      </c>
      <c r="M40" s="4">
        <v>99.2</v>
      </c>
      <c r="N40" s="4">
        <v>71.2</v>
      </c>
      <c r="O40" s="4">
        <v>83.7</v>
      </c>
      <c r="P40" s="4">
        <f>AVERAGE(M40:O40)</f>
        <v>84.7</v>
      </c>
      <c r="Q40" s="4">
        <v>51.3</v>
      </c>
      <c r="R40" s="4">
        <v>52.7</v>
      </c>
      <c r="S40" s="4">
        <f t="shared" si="0"/>
        <v>52</v>
      </c>
    </row>
    <row r="41" spans="1:19" x14ac:dyDescent="0.3">
      <c r="A41" s="10" t="s">
        <v>16</v>
      </c>
      <c r="B41" s="11">
        <v>40</v>
      </c>
      <c r="C41" s="11">
        <v>2</v>
      </c>
      <c r="D41" s="10" t="s">
        <v>22</v>
      </c>
      <c r="E41" s="4">
        <v>8.67</v>
      </c>
      <c r="F41" s="4">
        <v>7.34</v>
      </c>
      <c r="G41" s="4">
        <v>11.99</v>
      </c>
      <c r="H41" s="4">
        <v>7.15</v>
      </c>
      <c r="I41" s="4">
        <v>93.2</v>
      </c>
      <c r="J41" s="4">
        <v>36.700000000000003</v>
      </c>
      <c r="K41" s="4">
        <v>80.599999999999994</v>
      </c>
      <c r="L41" s="4">
        <f>AVERAGE(I41:K41)</f>
        <v>70.166666666666671</v>
      </c>
      <c r="M41" s="4">
        <v>90.4</v>
      </c>
      <c r="N41" s="4">
        <v>73.400000000000006</v>
      </c>
      <c r="O41" s="4">
        <v>58.9</v>
      </c>
      <c r="P41" s="4">
        <f>AVERAGE(M41:O41)</f>
        <v>74.233333333333334</v>
      </c>
      <c r="Q41" s="4">
        <v>93.9</v>
      </c>
      <c r="R41" s="4">
        <v>92.6</v>
      </c>
      <c r="S41" s="4">
        <f t="shared" si="0"/>
        <v>93.25</v>
      </c>
    </row>
    <row r="42" spans="1:19" x14ac:dyDescent="0.3">
      <c r="A42" s="10" t="s">
        <v>17</v>
      </c>
      <c r="B42" s="11">
        <v>41</v>
      </c>
      <c r="C42" s="11">
        <v>3</v>
      </c>
      <c r="D42" s="10" t="s">
        <v>22</v>
      </c>
      <c r="E42" s="4">
        <v>7.73</v>
      </c>
      <c r="F42" s="4">
        <v>7.04</v>
      </c>
      <c r="G42" s="4">
        <v>13.03</v>
      </c>
      <c r="H42" s="4">
        <v>4.76</v>
      </c>
      <c r="I42" s="4">
        <v>56.8</v>
      </c>
      <c r="J42" s="4">
        <v>47.9</v>
      </c>
      <c r="K42" s="4">
        <v>85.7</v>
      </c>
      <c r="L42" s="4">
        <f>AVERAGE(I42:K42)</f>
        <v>63.466666666666661</v>
      </c>
      <c r="M42" s="4">
        <v>70.099999999999994</v>
      </c>
      <c r="N42" s="4">
        <v>86.1</v>
      </c>
      <c r="O42" s="4">
        <v>67.599999999999994</v>
      </c>
      <c r="P42" s="4">
        <f>AVERAGE(M42:O42)</f>
        <v>74.599999999999994</v>
      </c>
      <c r="Q42" s="4">
        <v>89.1</v>
      </c>
      <c r="R42" s="4">
        <v>100</v>
      </c>
      <c r="S42" s="4">
        <f t="shared" si="0"/>
        <v>94.55</v>
      </c>
    </row>
    <row r="43" spans="1:19" x14ac:dyDescent="0.3">
      <c r="A43" s="10" t="s">
        <v>17</v>
      </c>
      <c r="B43" s="11">
        <v>42</v>
      </c>
      <c r="C43" s="11">
        <v>3</v>
      </c>
      <c r="D43" s="10" t="s">
        <v>22</v>
      </c>
      <c r="E43" s="4">
        <v>8.14</v>
      </c>
      <c r="F43" s="4">
        <v>6.83</v>
      </c>
      <c r="G43" s="4">
        <v>11.67</v>
      </c>
      <c r="H43" s="4">
        <v>2.0099999999999998</v>
      </c>
      <c r="I43" s="4">
        <v>98.6</v>
      </c>
      <c r="J43" s="4">
        <v>69.2</v>
      </c>
      <c r="K43" s="4">
        <v>67.400000000000006</v>
      </c>
      <c r="L43" s="4">
        <f>AVERAGE(I43:K43)</f>
        <v>78.400000000000006</v>
      </c>
      <c r="M43" s="4">
        <v>84.9</v>
      </c>
      <c r="N43" s="4">
        <v>77.5</v>
      </c>
      <c r="O43" s="4">
        <v>47.3</v>
      </c>
      <c r="P43" s="4">
        <f>AVERAGE(M43:O43)</f>
        <v>69.899999999999991</v>
      </c>
      <c r="Q43" s="4">
        <v>76.5</v>
      </c>
      <c r="R43" s="4">
        <v>89.7</v>
      </c>
      <c r="S43" s="4">
        <f t="shared" si="0"/>
        <v>83.1</v>
      </c>
    </row>
    <row r="44" spans="1:19" x14ac:dyDescent="0.3">
      <c r="A44" s="10" t="s">
        <v>17</v>
      </c>
      <c r="B44" s="11">
        <v>43</v>
      </c>
      <c r="C44" s="11">
        <v>3</v>
      </c>
      <c r="D44" s="10" t="s">
        <v>21</v>
      </c>
      <c r="E44" s="4">
        <v>10.97</v>
      </c>
      <c r="F44" s="4">
        <v>13.34</v>
      </c>
      <c r="G44" s="4">
        <v>11.09</v>
      </c>
      <c r="H44" s="4">
        <v>3.33</v>
      </c>
      <c r="I44" s="4">
        <v>90.2</v>
      </c>
      <c r="J44" s="4">
        <v>45.1</v>
      </c>
      <c r="K44" s="4">
        <v>95.7</v>
      </c>
      <c r="L44" s="4">
        <f>AVERAGE(I44:K44)</f>
        <v>77</v>
      </c>
      <c r="M44" s="4">
        <v>94.6</v>
      </c>
      <c r="N44" s="4">
        <v>93.6</v>
      </c>
      <c r="O44" s="4">
        <v>100</v>
      </c>
      <c r="P44" s="4">
        <f>AVERAGE(M44:O44)</f>
        <v>96.066666666666663</v>
      </c>
      <c r="Q44" s="4">
        <v>96.7</v>
      </c>
      <c r="R44" s="4">
        <v>62.9</v>
      </c>
      <c r="S44" s="4">
        <f t="shared" si="0"/>
        <v>79.8</v>
      </c>
    </row>
    <row r="45" spans="1:19" x14ac:dyDescent="0.3">
      <c r="A45" s="10" t="s">
        <v>17</v>
      </c>
      <c r="B45" s="11">
        <v>44</v>
      </c>
      <c r="C45" s="11">
        <v>3</v>
      </c>
      <c r="D45" s="10" t="s">
        <v>22</v>
      </c>
      <c r="E45" s="4">
        <v>8.25</v>
      </c>
      <c r="F45" s="4">
        <v>8.02</v>
      </c>
      <c r="G45" s="4">
        <v>13.11</v>
      </c>
      <c r="H45" s="4">
        <v>8.64</v>
      </c>
      <c r="I45" s="4">
        <v>15.1</v>
      </c>
      <c r="J45" s="4">
        <v>93.5</v>
      </c>
      <c r="K45" s="4">
        <v>52.1</v>
      </c>
      <c r="L45" s="4">
        <f>AVERAGE(I45:K45)</f>
        <v>53.566666666666663</v>
      </c>
      <c r="M45" s="4">
        <v>59.3</v>
      </c>
      <c r="N45" s="4">
        <v>60.2</v>
      </c>
      <c r="O45" s="4">
        <v>55.4</v>
      </c>
      <c r="P45" s="4">
        <f>AVERAGE(M45:O45)</f>
        <v>58.300000000000004</v>
      </c>
      <c r="Q45" s="4">
        <v>76.900000000000006</v>
      </c>
      <c r="R45" s="4">
        <v>92.4</v>
      </c>
      <c r="S45" s="4">
        <f t="shared" si="0"/>
        <v>84.65</v>
      </c>
    </row>
    <row r="46" spans="1:19" x14ac:dyDescent="0.3">
      <c r="A46" s="10" t="s">
        <v>17</v>
      </c>
      <c r="B46" s="11">
        <v>45</v>
      </c>
      <c r="C46" s="11">
        <v>3</v>
      </c>
      <c r="D46" s="10" t="s">
        <v>22</v>
      </c>
      <c r="E46" s="4">
        <v>8.42</v>
      </c>
      <c r="F46" s="4">
        <v>7.42</v>
      </c>
      <c r="G46" s="4">
        <v>12.92</v>
      </c>
      <c r="H46" s="4">
        <v>3.09</v>
      </c>
      <c r="I46" s="4">
        <v>81.3</v>
      </c>
      <c r="J46" s="4">
        <v>57.1</v>
      </c>
      <c r="K46" s="4">
        <v>97.2</v>
      </c>
      <c r="L46" s="4">
        <f>AVERAGE(I46:K46)</f>
        <v>78.533333333333346</v>
      </c>
      <c r="M46" s="4">
        <v>97.8</v>
      </c>
      <c r="N46" s="4">
        <v>88.4</v>
      </c>
      <c r="O46" s="4">
        <v>78.900000000000006</v>
      </c>
      <c r="P46" s="4">
        <f>AVERAGE(M46:O46)</f>
        <v>88.366666666666674</v>
      </c>
      <c r="Q46" s="4">
        <v>90.4</v>
      </c>
      <c r="R46" s="4">
        <v>91</v>
      </c>
      <c r="S46" s="4">
        <f t="shared" si="0"/>
        <v>90.7</v>
      </c>
    </row>
    <row r="47" spans="1:19" x14ac:dyDescent="0.3">
      <c r="A47" s="10" t="s">
        <v>17</v>
      </c>
      <c r="B47" s="11">
        <v>46</v>
      </c>
      <c r="C47" s="11">
        <v>3</v>
      </c>
      <c r="D47" s="10" t="s">
        <v>21</v>
      </c>
      <c r="E47" s="4">
        <v>9.86</v>
      </c>
      <c r="F47" s="4">
        <v>12.64</v>
      </c>
      <c r="G47" s="4">
        <v>10.14</v>
      </c>
      <c r="H47" s="4">
        <v>0.78</v>
      </c>
      <c r="I47" s="4">
        <v>95.6</v>
      </c>
      <c r="J47" s="4">
        <v>80.2</v>
      </c>
      <c r="K47" s="4">
        <v>70.3</v>
      </c>
      <c r="L47" s="4">
        <f>AVERAGE(I47:K47)</f>
        <v>82.033333333333346</v>
      </c>
      <c r="M47" s="4">
        <v>76.099999999999994</v>
      </c>
      <c r="N47" s="4">
        <v>69.900000000000006</v>
      </c>
      <c r="O47" s="4">
        <v>78.900000000000006</v>
      </c>
      <c r="P47" s="4">
        <f>AVERAGE(M47:O47)</f>
        <v>74.966666666666669</v>
      </c>
      <c r="Q47" s="4">
        <v>54.1</v>
      </c>
      <c r="R47" s="4">
        <v>87.1</v>
      </c>
      <c r="S47" s="4">
        <f t="shared" si="0"/>
        <v>70.599999999999994</v>
      </c>
    </row>
    <row r="48" spans="1:19" x14ac:dyDescent="0.3">
      <c r="A48" s="10" t="s">
        <v>17</v>
      </c>
      <c r="B48" s="11">
        <v>47</v>
      </c>
      <c r="C48" s="11">
        <v>3</v>
      </c>
      <c r="D48" s="10" t="s">
        <v>21</v>
      </c>
      <c r="E48" s="4">
        <v>11.26</v>
      </c>
      <c r="F48" s="4">
        <v>13.58</v>
      </c>
      <c r="G48" s="4">
        <v>9.8800000000000008</v>
      </c>
      <c r="H48" s="4">
        <v>7.42</v>
      </c>
      <c r="I48" s="4">
        <v>62.3</v>
      </c>
      <c r="J48" s="4">
        <v>10.1</v>
      </c>
      <c r="K48" s="4">
        <v>75.8</v>
      </c>
      <c r="L48" s="4">
        <f>AVERAGE(I48:K48)</f>
        <v>49.4</v>
      </c>
      <c r="M48" s="4">
        <v>86.8</v>
      </c>
      <c r="N48" s="4">
        <v>97.5</v>
      </c>
      <c r="O48" s="4">
        <v>85.2</v>
      </c>
      <c r="P48" s="4">
        <f>AVERAGE(M48:O48)</f>
        <v>89.833333333333329</v>
      </c>
      <c r="Q48" s="4">
        <v>79.3</v>
      </c>
      <c r="R48" s="4">
        <v>92.6</v>
      </c>
      <c r="S48" s="4">
        <f t="shared" si="0"/>
        <v>85.949999999999989</v>
      </c>
    </row>
    <row r="49" spans="1:19" x14ac:dyDescent="0.3">
      <c r="A49" s="10" t="s">
        <v>17</v>
      </c>
      <c r="B49" s="11">
        <v>48</v>
      </c>
      <c r="C49" s="11">
        <v>3</v>
      </c>
      <c r="D49" s="10" t="s">
        <v>21</v>
      </c>
      <c r="E49" s="4">
        <v>10.08</v>
      </c>
      <c r="F49" s="4">
        <v>12.47</v>
      </c>
      <c r="G49" s="4">
        <v>11.04</v>
      </c>
      <c r="H49" s="4">
        <v>4.22</v>
      </c>
      <c r="I49" s="4">
        <v>76.900000000000006</v>
      </c>
      <c r="J49" s="4">
        <v>77.599999999999994</v>
      </c>
      <c r="K49" s="4">
        <v>88.1</v>
      </c>
      <c r="L49" s="4">
        <f>AVERAGE(I49:K49)</f>
        <v>80.86666666666666</v>
      </c>
      <c r="M49" s="4">
        <v>103.2</v>
      </c>
      <c r="N49" s="4">
        <v>83.7</v>
      </c>
      <c r="O49" s="4">
        <v>88.4</v>
      </c>
      <c r="P49" s="4">
        <f>AVERAGE(M49:O49)</f>
        <v>91.766666666666666</v>
      </c>
      <c r="Q49" s="4">
        <v>41.2</v>
      </c>
      <c r="R49" s="4">
        <v>43.7</v>
      </c>
      <c r="S49" s="4">
        <f t="shared" si="0"/>
        <v>42.45</v>
      </c>
    </row>
    <row r="50" spans="1:19" x14ac:dyDescent="0.3">
      <c r="A50" s="10" t="s">
        <v>17</v>
      </c>
      <c r="B50" s="11">
        <v>49</v>
      </c>
      <c r="C50" s="11">
        <v>3</v>
      </c>
      <c r="D50" s="10" t="s">
        <v>22</v>
      </c>
      <c r="E50" s="4">
        <v>7.92</v>
      </c>
      <c r="F50" s="4">
        <v>7.96</v>
      </c>
      <c r="G50" s="4">
        <v>12.07</v>
      </c>
      <c r="H50" s="4">
        <v>1.94</v>
      </c>
      <c r="I50" s="4">
        <v>45.5</v>
      </c>
      <c r="J50" s="4">
        <v>45.6</v>
      </c>
      <c r="K50" s="4">
        <v>80.3</v>
      </c>
      <c r="L50" s="4">
        <f>AVERAGE(I50:K50)</f>
        <v>57.133333333333326</v>
      </c>
      <c r="M50" s="4">
        <v>74.5</v>
      </c>
      <c r="N50" s="4">
        <v>96.9</v>
      </c>
      <c r="O50" s="4">
        <v>53.2</v>
      </c>
      <c r="P50" s="4">
        <f>AVERAGE(M50:O50)</f>
        <v>74.866666666666674</v>
      </c>
      <c r="Q50" s="4">
        <v>85.7</v>
      </c>
      <c r="R50" s="4">
        <v>94.3</v>
      </c>
      <c r="S50" s="4">
        <f t="shared" si="0"/>
        <v>90</v>
      </c>
    </row>
    <row r="51" spans="1:19" x14ac:dyDescent="0.3">
      <c r="A51" s="10" t="s">
        <v>17</v>
      </c>
      <c r="B51" s="11">
        <v>50</v>
      </c>
      <c r="C51" s="11">
        <v>3</v>
      </c>
      <c r="D51" s="10" t="s">
        <v>20</v>
      </c>
      <c r="E51" s="4">
        <v>12.74</v>
      </c>
      <c r="F51" s="5">
        <v>8.9700000000000006</v>
      </c>
      <c r="G51" s="4">
        <v>10.64</v>
      </c>
      <c r="H51" s="4">
        <v>3</v>
      </c>
      <c r="I51" s="4">
        <v>94.3</v>
      </c>
      <c r="J51" s="4">
        <v>95.2</v>
      </c>
      <c r="K51" s="4">
        <v>81.2</v>
      </c>
      <c r="L51" s="4">
        <f>AVERAGE(I51:K51)</f>
        <v>90.233333333333334</v>
      </c>
      <c r="M51" s="4">
        <v>70.3</v>
      </c>
      <c r="N51" s="4">
        <v>54.8</v>
      </c>
      <c r="O51" s="4">
        <v>87.9</v>
      </c>
      <c r="P51" s="4">
        <f>AVERAGE(M51:O51)</f>
        <v>71</v>
      </c>
      <c r="Q51" s="4">
        <v>75.7</v>
      </c>
      <c r="R51" s="4">
        <v>68.400000000000006</v>
      </c>
      <c r="S51" s="4">
        <f t="shared" si="0"/>
        <v>72.050000000000011</v>
      </c>
    </row>
    <row r="52" spans="1:19" x14ac:dyDescent="0.3">
      <c r="A52" s="10" t="s">
        <v>17</v>
      </c>
      <c r="B52" s="11">
        <v>51</v>
      </c>
      <c r="C52" s="11">
        <v>3</v>
      </c>
      <c r="D52" s="10" t="s">
        <v>20</v>
      </c>
      <c r="E52" s="4">
        <v>11.64</v>
      </c>
      <c r="F52" s="5">
        <v>9.64</v>
      </c>
      <c r="G52" s="4">
        <v>9.57</v>
      </c>
      <c r="H52" s="4">
        <v>0.33</v>
      </c>
      <c r="I52" s="4">
        <v>85.6</v>
      </c>
      <c r="J52" s="4">
        <v>93.7</v>
      </c>
      <c r="K52" s="4">
        <v>84.6</v>
      </c>
      <c r="L52" s="4">
        <f>AVERAGE(I52:K52)</f>
        <v>87.966666666666654</v>
      </c>
      <c r="M52" s="4">
        <v>94.8</v>
      </c>
      <c r="N52" s="4">
        <v>91.2</v>
      </c>
      <c r="O52" s="4">
        <v>95.6</v>
      </c>
      <c r="P52" s="4">
        <f>AVERAGE(M52:O52)</f>
        <v>93.866666666666674</v>
      </c>
      <c r="Q52" s="4">
        <v>81.400000000000006</v>
      </c>
      <c r="R52" s="4">
        <v>96.2</v>
      </c>
      <c r="S52" s="4">
        <f t="shared" si="0"/>
        <v>88.800000000000011</v>
      </c>
    </row>
    <row r="53" spans="1:19" x14ac:dyDescent="0.3">
      <c r="A53" s="10" t="s">
        <v>17</v>
      </c>
      <c r="B53" s="11">
        <v>52</v>
      </c>
      <c r="C53" s="11">
        <v>3</v>
      </c>
      <c r="D53" s="10" t="s">
        <v>20</v>
      </c>
      <c r="E53" s="4">
        <v>12.18</v>
      </c>
      <c r="F53" s="5">
        <v>10.130000000000001</v>
      </c>
      <c r="G53" s="4">
        <v>10.78</v>
      </c>
      <c r="H53" s="4">
        <v>4.2300000000000004</v>
      </c>
      <c r="I53" s="4">
        <v>86.9</v>
      </c>
      <c r="J53" s="4">
        <v>96.5</v>
      </c>
      <c r="K53" s="4">
        <v>85.9</v>
      </c>
      <c r="L53" s="4">
        <f>AVERAGE(I53:K53)</f>
        <v>89.766666666666666</v>
      </c>
      <c r="M53" s="4">
        <v>67.900000000000006</v>
      </c>
      <c r="N53" s="4">
        <v>76.5</v>
      </c>
      <c r="O53" s="4">
        <v>93.4</v>
      </c>
      <c r="P53" s="4">
        <f>AVERAGE(M53:O53)</f>
        <v>79.266666666666666</v>
      </c>
      <c r="Q53" s="4">
        <v>63.1</v>
      </c>
      <c r="R53" s="4">
        <v>59.5</v>
      </c>
      <c r="S53" s="4">
        <f t="shared" si="0"/>
        <v>61.3</v>
      </c>
    </row>
    <row r="54" spans="1:19" x14ac:dyDescent="0.3">
      <c r="A54" s="10" t="s">
        <v>17</v>
      </c>
      <c r="B54" s="11">
        <v>53</v>
      </c>
      <c r="C54" s="11">
        <v>3</v>
      </c>
      <c r="D54" s="10" t="s">
        <v>21</v>
      </c>
      <c r="E54" s="4">
        <v>9.73</v>
      </c>
      <c r="F54" s="4">
        <v>12.91</v>
      </c>
      <c r="G54" s="4">
        <v>11.39</v>
      </c>
      <c r="H54" s="4">
        <v>2.66</v>
      </c>
      <c r="I54" s="4">
        <v>71.400000000000006</v>
      </c>
      <c r="J54" s="4">
        <v>63.8</v>
      </c>
      <c r="K54" s="4">
        <v>64.599999999999994</v>
      </c>
      <c r="L54" s="4">
        <f>AVERAGE(I54:K54)</f>
        <v>66.599999999999994</v>
      </c>
      <c r="M54" s="4">
        <v>81.900000000000006</v>
      </c>
      <c r="N54" s="4">
        <v>100</v>
      </c>
      <c r="O54" s="4">
        <v>70.7</v>
      </c>
      <c r="P54" s="4">
        <f>AVERAGE(M54:O54)</f>
        <v>84.2</v>
      </c>
      <c r="Q54" s="4">
        <v>72.900000000000006</v>
      </c>
      <c r="R54" s="4">
        <v>53.3</v>
      </c>
      <c r="S54" s="4">
        <f t="shared" si="0"/>
        <v>63.1</v>
      </c>
    </row>
    <row r="55" spans="1:19" x14ac:dyDescent="0.3">
      <c r="A55" s="10" t="s">
        <v>17</v>
      </c>
      <c r="B55" s="11">
        <v>54</v>
      </c>
      <c r="C55" s="11">
        <v>3</v>
      </c>
      <c r="D55" s="10" t="s">
        <v>22</v>
      </c>
      <c r="E55" s="4">
        <v>8.19</v>
      </c>
      <c r="F55" s="4">
        <v>7.54</v>
      </c>
      <c r="G55" s="4">
        <v>13.31</v>
      </c>
      <c r="H55" s="4">
        <v>6.78</v>
      </c>
      <c r="I55" s="4">
        <v>77.900000000000006</v>
      </c>
      <c r="J55" s="4">
        <v>82.7</v>
      </c>
      <c r="K55" s="4">
        <v>64.8</v>
      </c>
      <c r="L55" s="4">
        <f>AVERAGE(I55:K55)</f>
        <v>75.13333333333334</v>
      </c>
      <c r="M55" s="4">
        <v>92.6</v>
      </c>
      <c r="N55" s="4">
        <v>80.3</v>
      </c>
      <c r="O55" s="4">
        <v>48.6</v>
      </c>
      <c r="P55" s="4">
        <f>AVERAGE(M55:O55)</f>
        <v>73.833333333333329</v>
      </c>
      <c r="Q55" s="4">
        <v>88.8</v>
      </c>
      <c r="R55" s="4">
        <v>91.2</v>
      </c>
      <c r="S55" s="4">
        <f t="shared" si="0"/>
        <v>90</v>
      </c>
    </row>
    <row r="56" spans="1:19" x14ac:dyDescent="0.3">
      <c r="A56" s="10" t="s">
        <v>17</v>
      </c>
      <c r="B56" s="11">
        <v>55</v>
      </c>
      <c r="C56" s="11">
        <v>3</v>
      </c>
      <c r="D56" s="10" t="s">
        <v>22</v>
      </c>
      <c r="E56" s="4">
        <v>7.76</v>
      </c>
      <c r="F56" s="4">
        <v>6.98</v>
      </c>
      <c r="G56" s="4">
        <v>12.13</v>
      </c>
      <c r="H56" s="4">
        <v>5.54</v>
      </c>
      <c r="I56" s="4">
        <v>40.799999999999997</v>
      </c>
      <c r="J56" s="4">
        <v>74.8</v>
      </c>
      <c r="K56" s="4">
        <v>82.6</v>
      </c>
      <c r="L56" s="4">
        <f>AVERAGE(I56:K56)</f>
        <v>66.066666666666663</v>
      </c>
      <c r="M56" s="4">
        <v>50.2</v>
      </c>
      <c r="N56" s="4">
        <v>68.099999999999994</v>
      </c>
      <c r="O56" s="4">
        <v>84.3</v>
      </c>
      <c r="P56" s="4">
        <f>AVERAGE(M56:O56)</f>
        <v>67.533333333333331</v>
      </c>
      <c r="Q56" s="4">
        <v>94.2</v>
      </c>
      <c r="R56" s="4">
        <v>97.4</v>
      </c>
      <c r="S56" s="4">
        <f t="shared" si="0"/>
        <v>95.800000000000011</v>
      </c>
    </row>
    <row r="57" spans="1:19" x14ac:dyDescent="0.3">
      <c r="A57" s="10" t="s">
        <v>17</v>
      </c>
      <c r="B57" s="11">
        <v>56</v>
      </c>
      <c r="C57" s="11">
        <v>3</v>
      </c>
      <c r="D57" s="10" t="s">
        <v>20</v>
      </c>
      <c r="E57" s="4">
        <v>11.97</v>
      </c>
      <c r="F57" s="5">
        <v>9.01</v>
      </c>
      <c r="G57" s="4">
        <v>10.050000000000001</v>
      </c>
      <c r="H57" s="4">
        <v>6.57</v>
      </c>
      <c r="I57" s="4">
        <v>90.1</v>
      </c>
      <c r="J57" s="4">
        <v>95.6</v>
      </c>
      <c r="K57" s="4">
        <v>84.1</v>
      </c>
      <c r="L57" s="4">
        <f>AVERAGE(I57:K57)</f>
        <v>89.933333333333323</v>
      </c>
      <c r="M57" s="4">
        <v>87.6</v>
      </c>
      <c r="N57" s="4">
        <v>80.7</v>
      </c>
      <c r="O57" s="4">
        <v>90.2</v>
      </c>
      <c r="P57" s="4">
        <f>AVERAGE(M57:O57)</f>
        <v>86.166666666666671</v>
      </c>
      <c r="Q57" s="4">
        <v>23.6</v>
      </c>
      <c r="R57" s="4">
        <v>35.700000000000003</v>
      </c>
      <c r="S57" s="4">
        <f t="shared" si="0"/>
        <v>29.650000000000002</v>
      </c>
    </row>
    <row r="58" spans="1:19" x14ac:dyDescent="0.3">
      <c r="A58" s="10" t="s">
        <v>17</v>
      </c>
      <c r="B58" s="11">
        <v>57</v>
      </c>
      <c r="C58" s="11">
        <v>3</v>
      </c>
      <c r="D58" s="10" t="s">
        <v>20</v>
      </c>
      <c r="E58" s="4">
        <v>12.23</v>
      </c>
      <c r="F58" s="5">
        <v>10.25</v>
      </c>
      <c r="G58" s="4">
        <v>10.17</v>
      </c>
      <c r="H58" s="4">
        <v>8.92</v>
      </c>
      <c r="I58" s="4">
        <v>88.7</v>
      </c>
      <c r="J58" s="4">
        <v>90.8</v>
      </c>
      <c r="K58" s="4">
        <v>86.8</v>
      </c>
      <c r="L58" s="4">
        <f>AVERAGE(I58:K58)</f>
        <v>88.766666666666666</v>
      </c>
      <c r="M58" s="4">
        <v>80.400000000000006</v>
      </c>
      <c r="N58" s="4">
        <v>69.3</v>
      </c>
      <c r="O58" s="4">
        <v>81.5</v>
      </c>
      <c r="P58" s="4">
        <f>AVERAGE(M58:O58)</f>
        <v>77.066666666666663</v>
      </c>
      <c r="Q58" s="4">
        <v>92.8</v>
      </c>
      <c r="R58" s="4">
        <v>79.099999999999994</v>
      </c>
      <c r="S58" s="4">
        <f t="shared" si="0"/>
        <v>85.949999999999989</v>
      </c>
    </row>
    <row r="59" spans="1:19" x14ac:dyDescent="0.3">
      <c r="A59" s="10" t="s">
        <v>17</v>
      </c>
      <c r="B59" s="11">
        <v>58</v>
      </c>
      <c r="C59" s="11">
        <v>3</v>
      </c>
      <c r="D59" s="10" t="s">
        <v>20</v>
      </c>
      <c r="E59" s="4">
        <v>12.42</v>
      </c>
      <c r="F59" s="5">
        <v>9.35</v>
      </c>
      <c r="G59" s="4">
        <v>10.32</v>
      </c>
      <c r="H59" s="4">
        <v>3.11</v>
      </c>
      <c r="I59" s="4">
        <v>93.9</v>
      </c>
      <c r="J59" s="4">
        <v>97.2</v>
      </c>
      <c r="K59" s="4">
        <v>83.4</v>
      </c>
      <c r="L59" s="4">
        <f>AVERAGE(I59:K59)</f>
        <v>91.5</v>
      </c>
      <c r="M59" s="4">
        <v>92.7</v>
      </c>
      <c r="N59" s="4">
        <v>85.2</v>
      </c>
      <c r="O59" s="4">
        <v>86.3</v>
      </c>
      <c r="P59" s="4">
        <f>AVERAGE(M59:O59)</f>
        <v>88.066666666666663</v>
      </c>
      <c r="Q59" s="4">
        <v>55.2</v>
      </c>
      <c r="R59" s="4">
        <v>47.8</v>
      </c>
      <c r="S59" s="4">
        <f t="shared" si="0"/>
        <v>51.5</v>
      </c>
    </row>
    <row r="60" spans="1:19" x14ac:dyDescent="0.3">
      <c r="A60" s="10" t="s">
        <v>17</v>
      </c>
      <c r="B60" s="11">
        <v>59</v>
      </c>
      <c r="C60" s="11">
        <v>3</v>
      </c>
      <c r="D60" s="10" t="s">
        <v>20</v>
      </c>
      <c r="E60" s="4">
        <v>11.99</v>
      </c>
      <c r="F60" s="5">
        <v>8.92</v>
      </c>
      <c r="G60" s="4">
        <v>10.039999999999999</v>
      </c>
      <c r="H60" s="4">
        <v>1.34</v>
      </c>
      <c r="I60" s="4">
        <v>99</v>
      </c>
      <c r="J60" s="4">
        <v>96.1</v>
      </c>
      <c r="K60" s="4">
        <v>88.7</v>
      </c>
      <c r="L60" s="4">
        <f>AVERAGE(I60:K60)</f>
        <v>94.600000000000009</v>
      </c>
      <c r="M60" s="4">
        <v>60.5</v>
      </c>
      <c r="N60" s="4">
        <v>62.9</v>
      </c>
      <c r="O60" s="4">
        <v>99.2</v>
      </c>
      <c r="P60" s="4">
        <f>AVERAGE(M60:O60)</f>
        <v>74.2</v>
      </c>
      <c r="Q60" s="4">
        <v>66.7</v>
      </c>
      <c r="R60" s="4">
        <v>58.6</v>
      </c>
      <c r="S60" s="4">
        <f t="shared" si="0"/>
        <v>62.650000000000006</v>
      </c>
    </row>
    <row r="61" spans="1:19" x14ac:dyDescent="0.3">
      <c r="A61" s="10" t="s">
        <v>17</v>
      </c>
      <c r="B61" s="11">
        <v>60</v>
      </c>
      <c r="C61" s="11">
        <v>3</v>
      </c>
      <c r="D61" s="10" t="s">
        <v>22</v>
      </c>
      <c r="E61" s="4">
        <v>8.31</v>
      </c>
      <c r="F61" s="4">
        <v>8.33</v>
      </c>
      <c r="G61" s="4">
        <v>12.96</v>
      </c>
      <c r="H61" s="4">
        <v>9</v>
      </c>
      <c r="I61" s="4">
        <v>87.2</v>
      </c>
      <c r="J61" s="4">
        <v>68.5</v>
      </c>
      <c r="K61" s="4">
        <v>49.7</v>
      </c>
      <c r="L61" s="4">
        <f>AVERAGE(I61:K61)</f>
        <v>68.466666666666654</v>
      </c>
      <c r="M61" s="4">
        <v>93.9</v>
      </c>
      <c r="N61" s="4">
        <v>75.900000000000006</v>
      </c>
      <c r="O61" s="4">
        <v>39.700000000000003</v>
      </c>
      <c r="P61" s="4">
        <f>AVERAGE(M61:O61)</f>
        <v>69.833333333333329</v>
      </c>
      <c r="Q61" s="4">
        <v>94.5</v>
      </c>
      <c r="R61" s="4">
        <v>92.7</v>
      </c>
      <c r="S61" s="4">
        <f t="shared" si="0"/>
        <v>93.6</v>
      </c>
    </row>
    <row r="62" spans="1:19" s="1" customFormat="1" x14ac:dyDescent="0.3">
      <c r="A62" s="10" t="s">
        <v>18</v>
      </c>
      <c r="B62" s="11">
        <v>61</v>
      </c>
      <c r="C62" s="11">
        <v>4</v>
      </c>
      <c r="D62" s="10" t="s">
        <v>22</v>
      </c>
      <c r="E62" s="4">
        <v>8.1199999999999992</v>
      </c>
      <c r="F62" s="4">
        <v>7.14</v>
      </c>
      <c r="G62" s="4">
        <v>11.88</v>
      </c>
      <c r="H62" s="4">
        <v>3.33</v>
      </c>
      <c r="I62" s="4">
        <v>10.199999999999999</v>
      </c>
      <c r="J62" s="4">
        <v>30.9</v>
      </c>
      <c r="K62" s="4">
        <v>87.5</v>
      </c>
      <c r="L62" s="4">
        <f>AVERAGE(I62:K62)</f>
        <v>42.866666666666667</v>
      </c>
      <c r="M62" s="4">
        <v>68.400000000000006</v>
      </c>
      <c r="N62" s="4">
        <v>92.6</v>
      </c>
      <c r="O62" s="4">
        <v>56.9</v>
      </c>
      <c r="P62" s="4">
        <f>AVERAGE(M62:O62)</f>
        <v>72.63333333333334</v>
      </c>
      <c r="Q62" s="4">
        <v>97.6</v>
      </c>
      <c r="R62" s="4">
        <v>90.6</v>
      </c>
      <c r="S62" s="4">
        <f t="shared" si="0"/>
        <v>94.1</v>
      </c>
    </row>
    <row r="63" spans="1:19" x14ac:dyDescent="0.3">
      <c r="A63" s="10" t="s">
        <v>18</v>
      </c>
      <c r="B63" s="11">
        <v>62</v>
      </c>
      <c r="C63" s="11">
        <v>4</v>
      </c>
      <c r="D63" s="10" t="s">
        <v>21</v>
      </c>
      <c r="E63" s="4">
        <v>9.57</v>
      </c>
      <c r="F63" s="4">
        <v>14.57</v>
      </c>
      <c r="G63" s="4">
        <v>10.67</v>
      </c>
      <c r="H63" s="4">
        <v>8.9</v>
      </c>
      <c r="I63" s="4">
        <v>82.6</v>
      </c>
      <c r="J63" s="4">
        <v>91.4</v>
      </c>
      <c r="K63" s="4">
        <v>93.9</v>
      </c>
      <c r="L63" s="4">
        <f>AVERAGE(I63:K63)</f>
        <v>89.3</v>
      </c>
      <c r="M63" s="4">
        <v>88.5</v>
      </c>
      <c r="N63" s="4">
        <v>96.4</v>
      </c>
      <c r="O63" s="4">
        <v>97.6</v>
      </c>
      <c r="P63" s="4">
        <f>AVERAGE(M63:O63)</f>
        <v>94.166666666666671</v>
      </c>
      <c r="Q63" s="4">
        <v>20.8</v>
      </c>
      <c r="R63" s="4">
        <v>67.3</v>
      </c>
      <c r="S63" s="4">
        <f t="shared" si="0"/>
        <v>44.05</v>
      </c>
    </row>
    <row r="64" spans="1:19" x14ac:dyDescent="0.3">
      <c r="A64" s="10" t="s">
        <v>18</v>
      </c>
      <c r="B64" s="11">
        <v>63</v>
      </c>
      <c r="C64" s="11">
        <v>4</v>
      </c>
      <c r="D64" s="10" t="s">
        <v>22</v>
      </c>
      <c r="E64" s="4">
        <v>8.58</v>
      </c>
      <c r="F64" s="4">
        <v>7.68</v>
      </c>
      <c r="G64" s="4">
        <v>12.51</v>
      </c>
      <c r="H64" s="4">
        <v>0.78</v>
      </c>
      <c r="I64" s="4">
        <v>32.700000000000003</v>
      </c>
      <c r="J64" s="4">
        <v>67.3</v>
      </c>
      <c r="K64" s="4">
        <v>93.6</v>
      </c>
      <c r="L64" s="4">
        <f>AVERAGE(I64:K64)</f>
        <v>64.533333333333331</v>
      </c>
      <c r="M64" s="4">
        <v>87.2</v>
      </c>
      <c r="N64" s="4">
        <v>65.8</v>
      </c>
      <c r="O64" s="4">
        <v>68.5</v>
      </c>
      <c r="P64" s="4">
        <f>AVERAGE(M64:O64)</f>
        <v>73.833333333333329</v>
      </c>
      <c r="Q64" s="4">
        <v>88.5</v>
      </c>
      <c r="R64" s="4">
        <v>97.9</v>
      </c>
      <c r="S64" s="4">
        <f t="shared" si="0"/>
        <v>93.2</v>
      </c>
    </row>
    <row r="65" spans="1:19" x14ac:dyDescent="0.3">
      <c r="A65" s="10" t="s">
        <v>18</v>
      </c>
      <c r="B65" s="11">
        <v>64</v>
      </c>
      <c r="C65" s="11">
        <v>4</v>
      </c>
      <c r="D65" s="10" t="s">
        <v>22</v>
      </c>
      <c r="E65" s="4">
        <v>8.01</v>
      </c>
      <c r="F65" s="4">
        <v>8.01</v>
      </c>
      <c r="G65" s="4">
        <v>13.47</v>
      </c>
      <c r="H65" s="4">
        <v>7.42</v>
      </c>
      <c r="I65" s="4">
        <v>69.5</v>
      </c>
      <c r="J65" s="4">
        <v>91</v>
      </c>
      <c r="K65" s="4">
        <v>79.400000000000006</v>
      </c>
      <c r="L65" s="4">
        <f>AVERAGE(I65:K65)</f>
        <v>79.966666666666669</v>
      </c>
      <c r="M65" s="4">
        <v>80.900000000000006</v>
      </c>
      <c r="N65" s="4">
        <v>72.5</v>
      </c>
      <c r="O65" s="4">
        <v>81.599999999999994</v>
      </c>
      <c r="P65" s="4">
        <f>AVERAGE(M65:O65)</f>
        <v>78.333333333333329</v>
      </c>
      <c r="Q65" s="4">
        <v>81.7</v>
      </c>
      <c r="R65" s="4">
        <v>93.4</v>
      </c>
      <c r="S65" s="4">
        <f t="shared" si="0"/>
        <v>87.550000000000011</v>
      </c>
    </row>
    <row r="66" spans="1:19" x14ac:dyDescent="0.3">
      <c r="A66" s="10" t="s">
        <v>18</v>
      </c>
      <c r="B66" s="11">
        <v>65</v>
      </c>
      <c r="C66" s="11">
        <v>4</v>
      </c>
      <c r="D66" s="10" t="s">
        <v>22</v>
      </c>
      <c r="E66" s="4">
        <v>7.95</v>
      </c>
      <c r="F66" s="4">
        <v>7.2</v>
      </c>
      <c r="G66" s="4">
        <v>12.48</v>
      </c>
      <c r="H66" s="4">
        <v>4.22</v>
      </c>
      <c r="I66" s="4">
        <v>57.1</v>
      </c>
      <c r="J66" s="4">
        <v>58.2</v>
      </c>
      <c r="K66" s="4">
        <v>74.900000000000006</v>
      </c>
      <c r="L66" s="4">
        <f>AVERAGE(I66:K66)</f>
        <v>63.400000000000006</v>
      </c>
      <c r="M66" s="4">
        <v>72.7</v>
      </c>
      <c r="N66" s="4">
        <v>90.7</v>
      </c>
      <c r="O66" s="4">
        <v>59.3</v>
      </c>
      <c r="P66" s="4">
        <f>AVERAGE(M66:O66)</f>
        <v>74.233333333333334</v>
      </c>
      <c r="Q66" s="4">
        <v>99.9</v>
      </c>
      <c r="R66" s="4">
        <v>89.8</v>
      </c>
      <c r="S66" s="4">
        <f t="shared" si="0"/>
        <v>94.85</v>
      </c>
    </row>
    <row r="67" spans="1:19" x14ac:dyDescent="0.3">
      <c r="A67" s="10" t="s">
        <v>18</v>
      </c>
      <c r="B67" s="11">
        <v>66</v>
      </c>
      <c r="C67" s="11">
        <v>4</v>
      </c>
      <c r="D67" s="10" t="s">
        <v>20</v>
      </c>
      <c r="E67" s="4">
        <v>12.07</v>
      </c>
      <c r="F67" s="5">
        <v>9.7899999999999991</v>
      </c>
      <c r="G67" s="4">
        <v>10.91</v>
      </c>
      <c r="H67" s="4">
        <v>0.97</v>
      </c>
      <c r="I67" s="4">
        <v>87.5</v>
      </c>
      <c r="J67" s="4">
        <v>98.7</v>
      </c>
      <c r="K67" s="4">
        <v>87.9</v>
      </c>
      <c r="L67" s="4">
        <f>AVERAGE(I67:K67)</f>
        <v>91.366666666666674</v>
      </c>
      <c r="M67" s="4">
        <v>85.1</v>
      </c>
      <c r="N67" s="4">
        <v>92.7</v>
      </c>
      <c r="O67" s="4">
        <v>84.8</v>
      </c>
      <c r="P67" s="4">
        <f>AVERAGE(M67:O67)</f>
        <v>87.533333333333346</v>
      </c>
      <c r="Q67" s="4">
        <v>71.900000000000006</v>
      </c>
      <c r="R67" s="4">
        <v>39.5</v>
      </c>
      <c r="S67" s="4">
        <f t="shared" si="0"/>
        <v>55.7</v>
      </c>
    </row>
    <row r="68" spans="1:19" x14ac:dyDescent="0.3">
      <c r="A68" s="10" t="s">
        <v>18</v>
      </c>
      <c r="B68" s="11">
        <v>67</v>
      </c>
      <c r="C68" s="11">
        <v>4</v>
      </c>
      <c r="D68" s="10" t="s">
        <v>20</v>
      </c>
      <c r="E68" s="4">
        <v>11.97</v>
      </c>
      <c r="F68" s="5">
        <v>9.5399999999999991</v>
      </c>
      <c r="G68" s="4">
        <v>9.9700000000000006</v>
      </c>
      <c r="H68" s="4">
        <v>2.68</v>
      </c>
      <c r="I68" s="4">
        <v>91.8</v>
      </c>
      <c r="J68" s="4">
        <v>94.3</v>
      </c>
      <c r="K68" s="4">
        <v>84.8</v>
      </c>
      <c r="L68" s="4">
        <f>AVERAGE(I68:K68)</f>
        <v>90.3</v>
      </c>
      <c r="M68" s="4">
        <v>73.8</v>
      </c>
      <c r="N68" s="4">
        <v>78.400000000000006</v>
      </c>
      <c r="O68" s="4">
        <v>79.900000000000006</v>
      </c>
      <c r="P68" s="4">
        <f>AVERAGE(M68:O68)</f>
        <v>77.36666666666666</v>
      </c>
      <c r="Q68" s="4">
        <v>78.5</v>
      </c>
      <c r="R68" s="4">
        <v>56.2</v>
      </c>
      <c r="S68" s="4">
        <f t="shared" si="0"/>
        <v>67.349999999999994</v>
      </c>
    </row>
    <row r="69" spans="1:19" x14ac:dyDescent="0.3">
      <c r="A69" s="10" t="s">
        <v>18</v>
      </c>
      <c r="B69" s="11">
        <v>68</v>
      </c>
      <c r="C69" s="11">
        <v>4</v>
      </c>
      <c r="D69" s="10" t="s">
        <v>21</v>
      </c>
      <c r="E69" s="4">
        <v>11.32</v>
      </c>
      <c r="F69" s="4">
        <v>12.16</v>
      </c>
      <c r="G69" s="4">
        <v>10.65</v>
      </c>
      <c r="H69" s="4">
        <v>1</v>
      </c>
      <c r="I69" s="4">
        <v>67.900000000000006</v>
      </c>
      <c r="J69" s="4">
        <v>83.9</v>
      </c>
      <c r="K69" s="4">
        <v>81.400000000000006</v>
      </c>
      <c r="L69" s="4">
        <f>AVERAGE(I69:K69)</f>
        <v>77.733333333333334</v>
      </c>
      <c r="M69" s="4">
        <v>99.6</v>
      </c>
      <c r="N69" s="4">
        <v>84.8</v>
      </c>
      <c r="O69" s="4">
        <v>95.3</v>
      </c>
      <c r="P69" s="4">
        <f>AVERAGE(M69:O69)</f>
        <v>93.233333333333334</v>
      </c>
      <c r="Q69" s="4">
        <v>62.5</v>
      </c>
      <c r="R69" s="4">
        <v>85.2</v>
      </c>
      <c r="S69" s="4">
        <f t="shared" si="0"/>
        <v>73.849999999999994</v>
      </c>
    </row>
    <row r="70" spans="1:19" x14ac:dyDescent="0.3">
      <c r="A70" s="10" t="s">
        <v>18</v>
      </c>
      <c r="B70" s="11">
        <v>69</v>
      </c>
      <c r="C70" s="11">
        <v>4</v>
      </c>
      <c r="D70" s="10" t="s">
        <v>21</v>
      </c>
      <c r="E70" s="4">
        <v>10.130000000000001</v>
      </c>
      <c r="F70" s="4">
        <v>13.22</v>
      </c>
      <c r="G70" s="4">
        <v>10.26</v>
      </c>
      <c r="H70" s="4">
        <v>3.59</v>
      </c>
      <c r="I70" s="4">
        <v>84.7</v>
      </c>
      <c r="J70" s="4">
        <v>85.3</v>
      </c>
      <c r="K70" s="4">
        <v>72</v>
      </c>
      <c r="L70" s="4">
        <f>AVERAGE(I70:K70)</f>
        <v>80.666666666666671</v>
      </c>
      <c r="M70" s="4">
        <v>73.2</v>
      </c>
      <c r="N70" s="4">
        <v>91.3</v>
      </c>
      <c r="O70" s="4">
        <v>85.9</v>
      </c>
      <c r="P70" s="4">
        <f>AVERAGE(M70:O70)</f>
        <v>83.466666666666669</v>
      </c>
      <c r="Q70" s="4">
        <v>74.599999999999994</v>
      </c>
      <c r="R70" s="4">
        <v>78.900000000000006</v>
      </c>
      <c r="S70" s="4">
        <f t="shared" si="0"/>
        <v>76.75</v>
      </c>
    </row>
    <row r="71" spans="1:19" x14ac:dyDescent="0.3">
      <c r="A71" s="10" t="s">
        <v>18</v>
      </c>
      <c r="B71" s="11">
        <v>70</v>
      </c>
      <c r="C71" s="11">
        <v>4</v>
      </c>
      <c r="D71" s="10" t="s">
        <v>21</v>
      </c>
      <c r="E71" s="4">
        <v>11.16</v>
      </c>
      <c r="F71" s="4">
        <v>12.93</v>
      </c>
      <c r="G71" s="4">
        <v>10.88</v>
      </c>
      <c r="H71" s="4">
        <v>5.84</v>
      </c>
      <c r="I71" s="4">
        <v>89.1</v>
      </c>
      <c r="J71" s="4">
        <v>78.7</v>
      </c>
      <c r="K71" s="4">
        <v>89.3</v>
      </c>
      <c r="L71" s="4">
        <f>AVERAGE(I71:K71)</f>
        <v>85.7</v>
      </c>
      <c r="M71" s="4">
        <v>93.7</v>
      </c>
      <c r="N71" s="4">
        <v>85.6</v>
      </c>
      <c r="O71" s="4">
        <v>91.7</v>
      </c>
      <c r="P71" s="4">
        <f>AVERAGE(M71:O71)</f>
        <v>90.333333333333329</v>
      </c>
      <c r="Q71" s="4">
        <v>100</v>
      </c>
      <c r="R71" s="4">
        <v>68.5</v>
      </c>
      <c r="S71" s="4">
        <f t="shared" ref="S71:S81" si="1">AVERAGE(Q71:R71)</f>
        <v>84.25</v>
      </c>
    </row>
    <row r="72" spans="1:19" x14ac:dyDescent="0.3">
      <c r="A72" s="10" t="s">
        <v>18</v>
      </c>
      <c r="B72" s="11">
        <v>71</v>
      </c>
      <c r="C72" s="11">
        <v>4</v>
      </c>
      <c r="D72" s="10" t="s">
        <v>22</v>
      </c>
      <c r="E72" s="4">
        <v>7.83</v>
      </c>
      <c r="F72" s="4">
        <v>7.92</v>
      </c>
      <c r="G72" s="4">
        <v>13.29</v>
      </c>
      <c r="H72" s="4">
        <v>2.66</v>
      </c>
      <c r="I72" s="4">
        <v>69.400000000000006</v>
      </c>
      <c r="J72" s="4">
        <v>77.599999999999994</v>
      </c>
      <c r="K72" s="4">
        <v>86.2</v>
      </c>
      <c r="L72" s="4">
        <f>AVERAGE(I72:K72)</f>
        <v>77.733333333333334</v>
      </c>
      <c r="M72" s="4">
        <v>79.599999999999994</v>
      </c>
      <c r="N72" s="4">
        <v>58.4</v>
      </c>
      <c r="O72" s="4">
        <v>46.1</v>
      </c>
      <c r="P72" s="4">
        <f>AVERAGE(M72:O72)</f>
        <v>61.366666666666667</v>
      </c>
      <c r="Q72" s="4">
        <v>96.3</v>
      </c>
      <c r="R72" s="4">
        <v>91.7</v>
      </c>
      <c r="S72" s="4">
        <f t="shared" si="1"/>
        <v>94</v>
      </c>
    </row>
    <row r="73" spans="1:19" x14ac:dyDescent="0.3">
      <c r="A73" s="10" t="s">
        <v>18</v>
      </c>
      <c r="B73" s="11">
        <v>72</v>
      </c>
      <c r="C73" s="11">
        <v>4</v>
      </c>
      <c r="D73" s="10" t="s">
        <v>20</v>
      </c>
      <c r="E73" s="4">
        <v>12.37</v>
      </c>
      <c r="F73" s="5">
        <v>10.210000000000001</v>
      </c>
      <c r="G73" s="4">
        <v>10.19</v>
      </c>
      <c r="H73" s="4">
        <v>7.79</v>
      </c>
      <c r="I73" s="4">
        <v>90.2</v>
      </c>
      <c r="J73" s="4">
        <v>92.9</v>
      </c>
      <c r="K73" s="4">
        <v>91.2</v>
      </c>
      <c r="L73" s="4">
        <f>AVERAGE(I73:K73)</f>
        <v>91.433333333333337</v>
      </c>
      <c r="M73" s="4">
        <v>98.3</v>
      </c>
      <c r="N73" s="4">
        <v>98.2</v>
      </c>
      <c r="O73" s="4">
        <v>89.5</v>
      </c>
      <c r="P73" s="4">
        <f>AVERAGE(M73:O73)</f>
        <v>95.333333333333329</v>
      </c>
      <c r="Q73" s="4">
        <v>96.3</v>
      </c>
      <c r="R73" s="4">
        <v>48.7</v>
      </c>
      <c r="S73" s="4">
        <f t="shared" si="1"/>
        <v>72.5</v>
      </c>
    </row>
    <row r="74" spans="1:19" x14ac:dyDescent="0.3">
      <c r="A74" s="10" t="s">
        <v>18</v>
      </c>
      <c r="B74" s="11">
        <v>73</v>
      </c>
      <c r="C74" s="11">
        <v>4</v>
      </c>
      <c r="D74" s="10" t="s">
        <v>20</v>
      </c>
      <c r="E74" s="4">
        <v>11.95</v>
      </c>
      <c r="F74" s="5">
        <v>9.2200000000000006</v>
      </c>
      <c r="G74" s="4">
        <v>9.7200000000000006</v>
      </c>
      <c r="H74" s="4">
        <v>4.12</v>
      </c>
      <c r="I74" s="4">
        <v>92.7</v>
      </c>
      <c r="J74" s="4">
        <v>95.9</v>
      </c>
      <c r="K74" s="4">
        <v>82.6</v>
      </c>
      <c r="L74" s="4">
        <f>AVERAGE(I74:K74)</f>
        <v>90.40000000000002</v>
      </c>
      <c r="M74" s="4">
        <v>69.599999999999994</v>
      </c>
      <c r="N74" s="4">
        <v>72.900000000000006</v>
      </c>
      <c r="O74" s="4">
        <v>80.7</v>
      </c>
      <c r="P74" s="4">
        <f>AVERAGE(M74:O74)</f>
        <v>74.399999999999991</v>
      </c>
      <c r="Q74" s="4">
        <v>80.2</v>
      </c>
      <c r="R74" s="4">
        <v>54.9</v>
      </c>
      <c r="S74" s="4">
        <f t="shared" si="1"/>
        <v>67.55</v>
      </c>
    </row>
    <row r="75" spans="1:19" x14ac:dyDescent="0.3">
      <c r="A75" s="10" t="s">
        <v>18</v>
      </c>
      <c r="B75" s="11">
        <v>74</v>
      </c>
      <c r="C75" s="11">
        <v>4</v>
      </c>
      <c r="D75" s="10" t="s">
        <v>20</v>
      </c>
      <c r="E75" s="4">
        <v>11.75</v>
      </c>
      <c r="F75" s="5">
        <v>10.17</v>
      </c>
      <c r="G75" s="4">
        <v>10.47</v>
      </c>
      <c r="H75" s="4">
        <v>2.87</v>
      </c>
      <c r="I75" s="4">
        <v>84.6</v>
      </c>
      <c r="J75" s="4">
        <v>97.8</v>
      </c>
      <c r="K75" s="4">
        <v>85.1</v>
      </c>
      <c r="L75" s="4">
        <f>AVERAGE(I75:K75)</f>
        <v>89.166666666666671</v>
      </c>
      <c r="M75" s="4">
        <v>91.2</v>
      </c>
      <c r="N75" s="4">
        <v>74.599999999999994</v>
      </c>
      <c r="O75" s="4">
        <v>88.9</v>
      </c>
      <c r="P75" s="4">
        <f>AVERAGE(M75:O75)</f>
        <v>84.9</v>
      </c>
      <c r="Q75" s="4">
        <v>41.9</v>
      </c>
      <c r="R75" s="4">
        <v>72.599999999999994</v>
      </c>
      <c r="S75" s="4">
        <f t="shared" si="1"/>
        <v>57.25</v>
      </c>
    </row>
    <row r="76" spans="1:19" x14ac:dyDescent="0.3">
      <c r="A76" s="10" t="s">
        <v>18</v>
      </c>
      <c r="B76" s="11">
        <v>75</v>
      </c>
      <c r="C76" s="11">
        <v>4</v>
      </c>
      <c r="D76" s="10" t="s">
        <v>20</v>
      </c>
      <c r="E76" s="4">
        <v>11.64</v>
      </c>
      <c r="F76" s="5">
        <v>9.65</v>
      </c>
      <c r="G76" s="4">
        <v>9.84</v>
      </c>
      <c r="H76" s="4">
        <v>6.45</v>
      </c>
      <c r="I76" s="4">
        <v>87.4</v>
      </c>
      <c r="J76" s="4">
        <v>96.3</v>
      </c>
      <c r="K76" s="4">
        <v>83.9</v>
      </c>
      <c r="L76" s="4">
        <f>AVERAGE(I76:K76)</f>
        <v>89.2</v>
      </c>
      <c r="M76" s="4">
        <v>77.5</v>
      </c>
      <c r="N76" s="4">
        <v>99.8</v>
      </c>
      <c r="O76" s="4">
        <v>96.7</v>
      </c>
      <c r="P76" s="4">
        <f>AVERAGE(M76:O76)</f>
        <v>91.333333333333329</v>
      </c>
      <c r="Q76" s="4">
        <v>52.4</v>
      </c>
      <c r="R76" s="4">
        <v>75.400000000000006</v>
      </c>
      <c r="S76" s="4">
        <f t="shared" si="1"/>
        <v>63.900000000000006</v>
      </c>
    </row>
    <row r="77" spans="1:19" x14ac:dyDescent="0.3">
      <c r="A77" s="10" t="s">
        <v>18</v>
      </c>
      <c r="B77" s="11">
        <v>76</v>
      </c>
      <c r="C77" s="11">
        <v>4</v>
      </c>
      <c r="D77" s="10" t="s">
        <v>20</v>
      </c>
      <c r="E77" s="4">
        <v>12.16</v>
      </c>
      <c r="F77" s="5">
        <v>9.41</v>
      </c>
      <c r="G77" s="4">
        <v>10.36</v>
      </c>
      <c r="H77" s="4">
        <v>9</v>
      </c>
      <c r="I77" s="4">
        <v>89.8</v>
      </c>
      <c r="J77" s="4">
        <v>93.9</v>
      </c>
      <c r="K77" s="4">
        <v>90.3</v>
      </c>
      <c r="L77" s="4">
        <f>AVERAGE(I77:K77)</f>
        <v>91.333333333333329</v>
      </c>
      <c r="M77" s="4">
        <v>88.9</v>
      </c>
      <c r="N77" s="4">
        <v>66.5</v>
      </c>
      <c r="O77" s="4">
        <v>97.3</v>
      </c>
      <c r="P77" s="4">
        <f>AVERAGE(M77:O77)</f>
        <v>84.233333333333334</v>
      </c>
      <c r="Q77" s="4">
        <v>68.7</v>
      </c>
      <c r="R77" s="4">
        <v>50.3</v>
      </c>
      <c r="S77" s="4">
        <f t="shared" si="1"/>
        <v>59.5</v>
      </c>
    </row>
    <row r="78" spans="1:19" x14ac:dyDescent="0.3">
      <c r="A78" s="10" t="s">
        <v>18</v>
      </c>
      <c r="B78" s="11">
        <v>77</v>
      </c>
      <c r="C78" s="11">
        <v>4</v>
      </c>
      <c r="D78" s="10" t="s">
        <v>20</v>
      </c>
      <c r="E78" s="4">
        <v>12.43</v>
      </c>
      <c r="F78" s="5">
        <v>10.09</v>
      </c>
      <c r="G78" s="4">
        <v>9.67</v>
      </c>
      <c r="H78" s="4">
        <v>1.22</v>
      </c>
      <c r="I78" s="4">
        <v>91.2</v>
      </c>
      <c r="J78" s="4">
        <v>94.6</v>
      </c>
      <c r="K78" s="4">
        <v>86.5</v>
      </c>
      <c r="L78" s="4">
        <f>AVERAGE(I78:K78)</f>
        <v>90.766666666666666</v>
      </c>
      <c r="M78" s="4">
        <v>65.2</v>
      </c>
      <c r="N78" s="4">
        <v>86.3</v>
      </c>
      <c r="O78" s="4">
        <v>86.9</v>
      </c>
      <c r="P78" s="4">
        <f>AVERAGE(M78:O78)</f>
        <v>79.466666666666669</v>
      </c>
      <c r="Q78" s="4">
        <v>57.1</v>
      </c>
      <c r="R78" s="4">
        <v>72.900000000000006</v>
      </c>
      <c r="S78" s="4">
        <f t="shared" si="1"/>
        <v>65</v>
      </c>
    </row>
    <row r="79" spans="1:19" x14ac:dyDescent="0.3">
      <c r="A79" s="10" t="s">
        <v>18</v>
      </c>
      <c r="B79" s="11">
        <v>78</v>
      </c>
      <c r="C79" s="11">
        <v>4</v>
      </c>
      <c r="D79" s="10" t="s">
        <v>20</v>
      </c>
      <c r="E79" s="4">
        <v>11.83</v>
      </c>
      <c r="F79" s="5">
        <v>9.11</v>
      </c>
      <c r="G79" s="4">
        <v>10.23</v>
      </c>
      <c r="H79" s="4">
        <v>3.88</v>
      </c>
      <c r="I79" s="4">
        <v>95.6</v>
      </c>
      <c r="J79" s="4">
        <v>94.1</v>
      </c>
      <c r="K79" s="4">
        <v>79.7</v>
      </c>
      <c r="L79" s="4">
        <f>AVERAGE(I79:K79)</f>
        <v>89.8</v>
      </c>
      <c r="M79" s="4">
        <v>84.7</v>
      </c>
      <c r="N79" s="4">
        <v>75.099999999999994</v>
      </c>
      <c r="O79" s="4">
        <v>90.7</v>
      </c>
      <c r="P79" s="4">
        <f>AVERAGE(M79:O79)</f>
        <v>83.5</v>
      </c>
      <c r="Q79" s="4">
        <v>93.9</v>
      </c>
      <c r="R79" s="4">
        <v>80.7</v>
      </c>
      <c r="S79" s="4">
        <f t="shared" si="1"/>
        <v>87.300000000000011</v>
      </c>
    </row>
    <row r="80" spans="1:19" x14ac:dyDescent="0.3">
      <c r="A80" s="10" t="s">
        <v>18</v>
      </c>
      <c r="B80" s="11">
        <v>79</v>
      </c>
      <c r="C80" s="11">
        <v>4</v>
      </c>
      <c r="D80" s="10" t="s">
        <v>22</v>
      </c>
      <c r="E80" s="4">
        <v>7.98</v>
      </c>
      <c r="F80" s="4">
        <v>6.61</v>
      </c>
      <c r="G80" s="4">
        <v>11.86</v>
      </c>
      <c r="H80" s="4">
        <v>8.9</v>
      </c>
      <c r="I80" s="4">
        <v>81.599999999999994</v>
      </c>
      <c r="J80" s="4">
        <v>35.4</v>
      </c>
      <c r="K80" s="4">
        <v>57.8</v>
      </c>
      <c r="L80" s="4">
        <f>AVERAGE(I80:K80)</f>
        <v>58.266666666666673</v>
      </c>
      <c r="M80" s="4">
        <v>99</v>
      </c>
      <c r="N80" s="4">
        <v>81.2</v>
      </c>
      <c r="O80" s="4">
        <v>63.8</v>
      </c>
      <c r="P80" s="4">
        <f>AVERAGE(M80:O80)</f>
        <v>81.333333333333329</v>
      </c>
      <c r="Q80" s="4">
        <v>79.099999999999994</v>
      </c>
      <c r="R80" s="4">
        <v>95.1</v>
      </c>
      <c r="S80" s="4">
        <f t="shared" si="1"/>
        <v>87.1</v>
      </c>
    </row>
    <row r="81" spans="1:19" x14ac:dyDescent="0.3">
      <c r="A81" s="10" t="s">
        <v>18</v>
      </c>
      <c r="B81" s="11">
        <v>80</v>
      </c>
      <c r="C81" s="11">
        <v>4</v>
      </c>
      <c r="D81" s="10" t="s">
        <v>22</v>
      </c>
      <c r="E81" s="4">
        <v>7.91</v>
      </c>
      <c r="F81" s="4">
        <v>7.85</v>
      </c>
      <c r="G81" s="4">
        <v>12.63</v>
      </c>
      <c r="H81" s="4">
        <v>1</v>
      </c>
      <c r="I81" s="4">
        <v>99.9</v>
      </c>
      <c r="J81" s="4">
        <v>49.3</v>
      </c>
      <c r="K81" s="4">
        <v>69.099999999999994</v>
      </c>
      <c r="L81" s="4">
        <f>AVERAGE(I81:K81)</f>
        <v>72.766666666666666</v>
      </c>
      <c r="M81" s="4">
        <v>73.2</v>
      </c>
      <c r="N81" s="4">
        <v>69.599999999999994</v>
      </c>
      <c r="O81" s="4">
        <v>74.5</v>
      </c>
      <c r="P81" s="4">
        <f>AVERAGE(M81:O81)</f>
        <v>72.433333333333337</v>
      </c>
      <c r="Q81" s="4">
        <v>94.8</v>
      </c>
      <c r="R81" s="4">
        <v>84.5</v>
      </c>
      <c r="S81" s="4">
        <f t="shared" si="1"/>
        <v>89.65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4.4" x14ac:dyDescent="0.3"/>
  <cols>
    <col min="1" max="1" width="12.33203125" bestFit="1" customWidth="1"/>
    <col min="2" max="2" width="16.33203125" bestFit="1" customWidth="1"/>
    <col min="3" max="3" width="15.21875" bestFit="1" customWidth="1"/>
    <col min="4" max="4" width="10.5546875" bestFit="1" customWidth="1"/>
    <col min="5" max="5" width="6.88671875" bestFit="1" customWidth="1"/>
    <col min="6" max="6" width="11.6640625" bestFit="1" customWidth="1"/>
    <col min="7" max="7" width="23.33203125" bestFit="1" customWidth="1"/>
  </cols>
  <sheetData>
    <row r="1" spans="1:7" x14ac:dyDescent="0.3">
      <c r="A1" t="s">
        <v>2</v>
      </c>
      <c r="B1" t="s">
        <v>36</v>
      </c>
      <c r="C1" t="s">
        <v>37</v>
      </c>
      <c r="D1" t="s">
        <v>38</v>
      </c>
      <c r="E1" t="s">
        <v>23</v>
      </c>
      <c r="F1" t="s">
        <v>39</v>
      </c>
      <c r="G1" t="s">
        <v>40</v>
      </c>
    </row>
    <row r="2" spans="1:7" x14ac:dyDescent="0.3">
      <c r="A2" s="11">
        <v>1</v>
      </c>
      <c r="B2" s="10" t="s">
        <v>24</v>
      </c>
      <c r="C2" s="10" t="s">
        <v>25</v>
      </c>
      <c r="D2" s="2">
        <v>31243</v>
      </c>
      <c r="E2" s="10" t="s">
        <v>26</v>
      </c>
      <c r="F2" s="10" t="s">
        <v>27</v>
      </c>
      <c r="G2" s="3">
        <v>1.5</v>
      </c>
    </row>
    <row r="3" spans="1:7" x14ac:dyDescent="0.3">
      <c r="A3" s="11">
        <v>2</v>
      </c>
      <c r="B3" s="10" t="s">
        <v>28</v>
      </c>
      <c r="C3" s="10" t="s">
        <v>29</v>
      </c>
      <c r="D3" s="2">
        <v>32932</v>
      </c>
      <c r="E3" s="10" t="s">
        <v>30</v>
      </c>
      <c r="F3" s="10" t="s">
        <v>22</v>
      </c>
      <c r="G3" s="3">
        <v>0.75</v>
      </c>
    </row>
    <row r="4" spans="1:7" x14ac:dyDescent="0.3">
      <c r="A4" s="11">
        <v>3</v>
      </c>
      <c r="B4" s="10" t="s">
        <v>31</v>
      </c>
      <c r="C4" s="10" t="s">
        <v>32</v>
      </c>
      <c r="D4" s="2">
        <v>28736</v>
      </c>
      <c r="E4" s="10" t="s">
        <v>26</v>
      </c>
      <c r="F4" s="10" t="s">
        <v>21</v>
      </c>
      <c r="G4" s="3">
        <v>0.5</v>
      </c>
    </row>
    <row r="5" spans="1:7" x14ac:dyDescent="0.3">
      <c r="A5" s="11">
        <v>4</v>
      </c>
      <c r="B5" s="10" t="s">
        <v>33</v>
      </c>
      <c r="C5" s="10" t="s">
        <v>34</v>
      </c>
      <c r="D5" s="2">
        <v>30267</v>
      </c>
      <c r="E5" s="10" t="s">
        <v>30</v>
      </c>
      <c r="F5" s="10" t="s">
        <v>35</v>
      </c>
      <c r="G5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zoomScale="86" zoomScaleNormal="86" workbookViewId="0">
      <selection activeCell="I10" sqref="I10"/>
    </sheetView>
  </sheetViews>
  <sheetFormatPr defaultRowHeight="14.4" x14ac:dyDescent="0.3"/>
  <cols>
    <col min="1" max="1" width="9.5546875" bestFit="1" customWidth="1"/>
    <col min="2" max="2" width="16.109375" bestFit="1" customWidth="1"/>
    <col min="3" max="3" width="15.109375" bestFit="1" customWidth="1"/>
    <col min="4" max="4" width="10.6640625" bestFit="1" customWidth="1"/>
    <col min="5" max="5" width="7" bestFit="1" customWidth="1"/>
    <col min="6" max="6" width="10.21875" bestFit="1" customWidth="1"/>
    <col min="7" max="7" width="26.44140625" bestFit="1" customWidth="1"/>
    <col min="8" max="8" width="36.77734375" bestFit="1" customWidth="1"/>
    <col min="9" max="9" width="23.33203125" bestFit="1" customWidth="1"/>
    <col min="10" max="10" width="7.33203125" bestFit="1" customWidth="1"/>
    <col min="11" max="11" width="9.44140625" bestFit="1" customWidth="1"/>
    <col min="12" max="12" width="24.6640625" bestFit="1" customWidth="1"/>
    <col min="13" max="13" width="17" bestFit="1" customWidth="1"/>
  </cols>
  <sheetData>
    <row r="1" spans="1:13" x14ac:dyDescent="0.3">
      <c r="A1" t="s">
        <v>1</v>
      </c>
      <c r="B1" t="s">
        <v>44</v>
      </c>
      <c r="C1" t="s">
        <v>45</v>
      </c>
      <c r="D1" t="s">
        <v>38</v>
      </c>
      <c r="E1" t="s">
        <v>23</v>
      </c>
      <c r="F1" s="9" t="s">
        <v>190</v>
      </c>
      <c r="G1" s="9" t="s">
        <v>191</v>
      </c>
      <c r="H1" s="9" t="s">
        <v>192</v>
      </c>
      <c r="I1" s="9" t="s">
        <v>193</v>
      </c>
      <c r="J1" s="9" t="s">
        <v>194</v>
      </c>
      <c r="K1" s="9" t="s">
        <v>195</v>
      </c>
      <c r="L1" s="9" t="s">
        <v>196</v>
      </c>
      <c r="M1" s="9" t="s">
        <v>197</v>
      </c>
    </row>
    <row r="2" spans="1:13" x14ac:dyDescent="0.3">
      <c r="A2" s="11">
        <v>1</v>
      </c>
      <c r="B2" s="10" t="s">
        <v>127</v>
      </c>
      <c r="C2" s="10" t="s">
        <v>147</v>
      </c>
      <c r="D2" s="2">
        <v>39498</v>
      </c>
      <c r="E2" s="10" t="s">
        <v>26</v>
      </c>
      <c r="F2" s="9" t="s">
        <v>199</v>
      </c>
      <c r="G2" s="9">
        <v>19</v>
      </c>
      <c r="H2" s="9"/>
      <c r="I2" s="8" t="s">
        <v>198</v>
      </c>
      <c r="J2" s="8"/>
      <c r="K2" s="8" t="s">
        <v>201</v>
      </c>
      <c r="L2" s="8" t="s">
        <v>202</v>
      </c>
      <c r="M2" s="8" t="s">
        <v>203</v>
      </c>
    </row>
    <row r="3" spans="1:13" x14ac:dyDescent="0.3">
      <c r="A3" s="11">
        <v>2</v>
      </c>
      <c r="B3" s="10" t="s">
        <v>128</v>
      </c>
      <c r="C3" s="10" t="s">
        <v>148</v>
      </c>
      <c r="D3" s="2">
        <v>39401</v>
      </c>
      <c r="E3" s="10" t="s">
        <v>30</v>
      </c>
      <c r="F3" s="9" t="s">
        <v>199</v>
      </c>
      <c r="G3" s="9">
        <v>21</v>
      </c>
      <c r="H3" s="9"/>
      <c r="I3" s="8" t="s">
        <v>198</v>
      </c>
      <c r="J3" s="8"/>
      <c r="K3" s="8" t="s">
        <v>201</v>
      </c>
      <c r="L3" s="8" t="s">
        <v>202</v>
      </c>
      <c r="M3" s="8" t="s">
        <v>203</v>
      </c>
    </row>
    <row r="4" spans="1:13" x14ac:dyDescent="0.3">
      <c r="A4" s="11">
        <v>3</v>
      </c>
      <c r="B4" s="10" t="s">
        <v>46</v>
      </c>
      <c r="C4" s="10" t="s">
        <v>149</v>
      </c>
      <c r="D4" s="2">
        <v>39570</v>
      </c>
      <c r="E4" s="10" t="s">
        <v>26</v>
      </c>
      <c r="F4" s="9" t="s">
        <v>200</v>
      </c>
      <c r="G4" s="9">
        <v>20</v>
      </c>
      <c r="H4" s="9"/>
      <c r="I4" s="8" t="s">
        <v>198</v>
      </c>
      <c r="J4" s="8"/>
      <c r="K4" s="8" t="s">
        <v>201</v>
      </c>
      <c r="L4" s="8" t="s">
        <v>202</v>
      </c>
      <c r="M4" s="8" t="s">
        <v>203</v>
      </c>
    </row>
    <row r="5" spans="1:13" x14ac:dyDescent="0.3">
      <c r="A5" s="11">
        <v>4</v>
      </c>
      <c r="B5" s="10" t="s">
        <v>48</v>
      </c>
      <c r="C5" s="10" t="s">
        <v>150</v>
      </c>
      <c r="D5" s="2">
        <v>39363</v>
      </c>
      <c r="E5" s="10" t="s">
        <v>30</v>
      </c>
      <c r="F5" s="9" t="s">
        <v>199</v>
      </c>
      <c r="G5" s="9">
        <v>29</v>
      </c>
      <c r="H5" s="9"/>
      <c r="I5" s="8" t="s">
        <v>198</v>
      </c>
      <c r="J5" s="8"/>
      <c r="K5" s="8" t="s">
        <v>201</v>
      </c>
      <c r="L5" s="8" t="s">
        <v>202</v>
      </c>
      <c r="M5" s="8" t="s">
        <v>203</v>
      </c>
    </row>
    <row r="6" spans="1:13" x14ac:dyDescent="0.3">
      <c r="A6" s="11">
        <v>5</v>
      </c>
      <c r="B6" s="10" t="s">
        <v>49</v>
      </c>
      <c r="C6" s="10" t="s">
        <v>151</v>
      </c>
      <c r="D6" s="2">
        <v>39605</v>
      </c>
      <c r="E6" s="10" t="s">
        <v>26</v>
      </c>
      <c r="F6" s="9" t="s">
        <v>199</v>
      </c>
      <c r="G6" s="9">
        <v>31</v>
      </c>
      <c r="H6" s="9"/>
      <c r="I6" s="8" t="s">
        <v>198</v>
      </c>
      <c r="J6" s="8"/>
      <c r="K6" s="8" t="s">
        <v>201</v>
      </c>
      <c r="L6" s="8" t="s">
        <v>202</v>
      </c>
      <c r="M6" s="8" t="s">
        <v>203</v>
      </c>
    </row>
    <row r="7" spans="1:13" x14ac:dyDescent="0.3">
      <c r="A7" s="11">
        <v>6</v>
      </c>
      <c r="B7" s="10" t="s">
        <v>130</v>
      </c>
      <c r="C7" s="10" t="s">
        <v>152</v>
      </c>
      <c r="D7" s="2">
        <v>39550</v>
      </c>
      <c r="E7" s="10" t="s">
        <v>30</v>
      </c>
      <c r="F7" s="9" t="s">
        <v>206</v>
      </c>
      <c r="G7" s="9">
        <v>35</v>
      </c>
      <c r="H7" s="9"/>
      <c r="I7" s="8" t="s">
        <v>204</v>
      </c>
      <c r="J7" s="8"/>
      <c r="K7" s="8" t="s">
        <v>201</v>
      </c>
      <c r="L7" s="8" t="s">
        <v>205</v>
      </c>
      <c r="M7" s="8" t="s">
        <v>203</v>
      </c>
    </row>
    <row r="8" spans="1:13" x14ac:dyDescent="0.3">
      <c r="A8" s="11">
        <v>7</v>
      </c>
      <c r="B8" s="10" t="s">
        <v>131</v>
      </c>
      <c r="C8" s="10" t="s">
        <v>153</v>
      </c>
      <c r="D8" s="2">
        <v>39468</v>
      </c>
      <c r="E8" s="10" t="s">
        <v>26</v>
      </c>
      <c r="F8" s="9" t="s">
        <v>207</v>
      </c>
      <c r="G8" s="9">
        <v>52</v>
      </c>
      <c r="H8" s="9"/>
      <c r="I8" s="8" t="s">
        <v>204</v>
      </c>
      <c r="J8" s="8"/>
      <c r="K8" s="8" t="s">
        <v>201</v>
      </c>
      <c r="L8" s="8" t="s">
        <v>205</v>
      </c>
      <c r="M8" s="8" t="s">
        <v>203</v>
      </c>
    </row>
    <row r="9" spans="1:13" x14ac:dyDescent="0.3">
      <c r="A9" s="11">
        <v>8</v>
      </c>
      <c r="B9" s="10" t="s">
        <v>132</v>
      </c>
      <c r="C9" s="10" t="s">
        <v>82</v>
      </c>
      <c r="D9" s="2">
        <v>39687</v>
      </c>
      <c r="E9" s="10" t="s">
        <v>30</v>
      </c>
      <c r="F9" s="9" t="s">
        <v>208</v>
      </c>
      <c r="G9" s="9">
        <v>92</v>
      </c>
      <c r="H9" s="9"/>
      <c r="I9" s="8" t="s">
        <v>204</v>
      </c>
      <c r="J9" s="8"/>
      <c r="K9" s="8" t="s">
        <v>201</v>
      </c>
      <c r="L9" s="8" t="s">
        <v>205</v>
      </c>
      <c r="M9" s="8" t="s">
        <v>203</v>
      </c>
    </row>
    <row r="10" spans="1:13" x14ac:dyDescent="0.3">
      <c r="A10" s="11">
        <v>9</v>
      </c>
      <c r="B10" s="10" t="s">
        <v>133</v>
      </c>
      <c r="C10" s="10" t="s">
        <v>154</v>
      </c>
      <c r="D10" s="2">
        <v>39524</v>
      </c>
      <c r="E10" s="10" t="s">
        <v>26</v>
      </c>
      <c r="F10" s="9" t="s">
        <v>206</v>
      </c>
      <c r="G10" s="9">
        <v>16</v>
      </c>
      <c r="H10" s="9"/>
      <c r="I10" s="8" t="s">
        <v>204</v>
      </c>
      <c r="J10" s="8"/>
      <c r="K10" s="8" t="s">
        <v>201</v>
      </c>
      <c r="L10" s="8" t="s">
        <v>205</v>
      </c>
      <c r="M10" s="8" t="s">
        <v>203</v>
      </c>
    </row>
    <row r="11" spans="1:13" x14ac:dyDescent="0.3">
      <c r="A11" s="11">
        <v>10</v>
      </c>
      <c r="B11" s="10" t="s">
        <v>59</v>
      </c>
      <c r="C11" s="10" t="s">
        <v>60</v>
      </c>
      <c r="D11" s="2">
        <v>39628</v>
      </c>
      <c r="E11" s="10" t="s">
        <v>30</v>
      </c>
      <c r="F11" s="9" t="s">
        <v>209</v>
      </c>
      <c r="G11" s="9">
        <v>127</v>
      </c>
      <c r="H11" s="9" t="s">
        <v>211</v>
      </c>
      <c r="I11" s="8" t="s">
        <v>212</v>
      </c>
      <c r="J11" s="8"/>
      <c r="K11" s="8" t="s">
        <v>201</v>
      </c>
      <c r="L11" s="8" t="s">
        <v>205</v>
      </c>
      <c r="M11" s="8" t="s">
        <v>203</v>
      </c>
    </row>
    <row r="12" spans="1:13" x14ac:dyDescent="0.3">
      <c r="A12" s="11">
        <v>11</v>
      </c>
      <c r="B12" s="10" t="s">
        <v>134</v>
      </c>
      <c r="C12" s="10" t="s">
        <v>155</v>
      </c>
      <c r="D12" s="2">
        <v>39420</v>
      </c>
      <c r="E12" s="10" t="s">
        <v>26</v>
      </c>
      <c r="F12" s="9" t="s">
        <v>210</v>
      </c>
      <c r="G12" s="9" t="s">
        <v>213</v>
      </c>
      <c r="H12" s="9" t="s">
        <v>214</v>
      </c>
      <c r="I12" s="8" t="s">
        <v>212</v>
      </c>
      <c r="J12" s="8"/>
      <c r="K12" s="8" t="s">
        <v>201</v>
      </c>
      <c r="L12" s="8" t="s">
        <v>205</v>
      </c>
      <c r="M12" s="8" t="s">
        <v>203</v>
      </c>
    </row>
    <row r="13" spans="1:13" x14ac:dyDescent="0.3">
      <c r="A13" s="11">
        <v>12</v>
      </c>
      <c r="B13" s="10" t="s">
        <v>135</v>
      </c>
      <c r="C13" s="10" t="s">
        <v>64</v>
      </c>
      <c r="D13" s="2">
        <v>39338</v>
      </c>
      <c r="E13" s="10" t="s">
        <v>30</v>
      </c>
      <c r="F13" s="9" t="s">
        <v>215</v>
      </c>
      <c r="G13" s="9">
        <v>65</v>
      </c>
      <c r="H13" s="9"/>
      <c r="I13" s="8" t="s">
        <v>212</v>
      </c>
      <c r="J13" s="8"/>
      <c r="K13" s="8" t="s">
        <v>201</v>
      </c>
      <c r="L13" s="8" t="s">
        <v>205</v>
      </c>
      <c r="M13" s="8" t="s">
        <v>203</v>
      </c>
    </row>
    <row r="14" spans="1:13" x14ac:dyDescent="0.3">
      <c r="A14" s="11">
        <v>13</v>
      </c>
      <c r="B14" s="10" t="s">
        <v>65</v>
      </c>
      <c r="C14" s="10" t="s">
        <v>156</v>
      </c>
      <c r="D14" s="2">
        <v>39661</v>
      </c>
      <c r="E14" s="10" t="s">
        <v>26</v>
      </c>
      <c r="F14" s="9" t="s">
        <v>216</v>
      </c>
      <c r="G14" s="9">
        <v>19</v>
      </c>
      <c r="H14" s="9"/>
      <c r="I14" s="8" t="s">
        <v>212</v>
      </c>
      <c r="J14" s="8"/>
      <c r="K14" s="8" t="s">
        <v>201</v>
      </c>
      <c r="L14" s="8" t="s">
        <v>205</v>
      </c>
      <c r="M14" s="8" t="s">
        <v>203</v>
      </c>
    </row>
    <row r="15" spans="1:13" x14ac:dyDescent="0.3">
      <c r="A15" s="11">
        <v>14</v>
      </c>
      <c r="B15" s="10" t="s">
        <v>67</v>
      </c>
      <c r="C15" s="10" t="s">
        <v>157</v>
      </c>
      <c r="D15" s="2">
        <v>39489</v>
      </c>
      <c r="E15" s="10" t="s">
        <v>30</v>
      </c>
      <c r="F15" s="9" t="s">
        <v>217</v>
      </c>
      <c r="G15" s="9" t="s">
        <v>218</v>
      </c>
      <c r="H15" s="9"/>
      <c r="I15" s="8" t="s">
        <v>212</v>
      </c>
      <c r="J15" s="8"/>
      <c r="K15" s="8" t="s">
        <v>201</v>
      </c>
      <c r="L15" s="8" t="s">
        <v>205</v>
      </c>
      <c r="M15" s="8" t="s">
        <v>203</v>
      </c>
    </row>
    <row r="16" spans="1:13" x14ac:dyDescent="0.3">
      <c r="A16" s="11">
        <v>15</v>
      </c>
      <c r="B16" s="10" t="s">
        <v>69</v>
      </c>
      <c r="C16" s="10" t="s">
        <v>158</v>
      </c>
      <c r="D16" s="2">
        <v>39577</v>
      </c>
      <c r="E16" s="10" t="s">
        <v>30</v>
      </c>
      <c r="F16" s="9" t="s">
        <v>216</v>
      </c>
      <c r="G16" s="9">
        <v>35</v>
      </c>
      <c r="H16" s="9"/>
      <c r="I16" s="8" t="s">
        <v>212</v>
      </c>
      <c r="J16" s="8"/>
      <c r="K16" s="8" t="s">
        <v>201</v>
      </c>
      <c r="L16" s="8" t="s">
        <v>205</v>
      </c>
      <c r="M16" s="8" t="s">
        <v>203</v>
      </c>
    </row>
    <row r="17" spans="1:13" x14ac:dyDescent="0.3">
      <c r="A17" s="11">
        <v>16</v>
      </c>
      <c r="B17" s="10" t="s">
        <v>136</v>
      </c>
      <c r="C17" s="10" t="s">
        <v>159</v>
      </c>
      <c r="D17" s="2">
        <v>39373</v>
      </c>
      <c r="E17" s="10" t="s">
        <v>30</v>
      </c>
      <c r="F17" s="9" t="s">
        <v>219</v>
      </c>
      <c r="G17" s="9">
        <v>10</v>
      </c>
      <c r="H17" s="9"/>
      <c r="I17" s="8" t="s">
        <v>220</v>
      </c>
      <c r="J17" s="8"/>
      <c r="K17" s="8" t="s">
        <v>201</v>
      </c>
      <c r="L17" s="8" t="s">
        <v>205</v>
      </c>
      <c r="M17" s="8" t="s">
        <v>203</v>
      </c>
    </row>
    <row r="18" spans="1:13" x14ac:dyDescent="0.3">
      <c r="A18" s="11">
        <v>17</v>
      </c>
      <c r="B18" s="10" t="s">
        <v>73</v>
      </c>
      <c r="C18" s="10" t="s">
        <v>160</v>
      </c>
      <c r="D18" s="2">
        <v>39636</v>
      </c>
      <c r="E18" s="10" t="s">
        <v>26</v>
      </c>
      <c r="F18" s="9" t="s">
        <v>215</v>
      </c>
      <c r="G18" s="9">
        <v>119</v>
      </c>
      <c r="H18" s="9" t="s">
        <v>221</v>
      </c>
      <c r="I18" s="8" t="s">
        <v>212</v>
      </c>
      <c r="J18" s="8"/>
      <c r="K18" s="8" t="s">
        <v>201</v>
      </c>
      <c r="L18" s="8" t="s">
        <v>205</v>
      </c>
      <c r="M18" s="8" t="s">
        <v>203</v>
      </c>
    </row>
    <row r="19" spans="1:13" x14ac:dyDescent="0.3">
      <c r="A19" s="11">
        <v>18</v>
      </c>
      <c r="B19" s="10" t="s">
        <v>75</v>
      </c>
      <c r="C19" s="10" t="s">
        <v>161</v>
      </c>
      <c r="D19" s="2">
        <v>39531</v>
      </c>
      <c r="E19" s="10" t="s">
        <v>30</v>
      </c>
      <c r="F19" s="9" t="s">
        <v>222</v>
      </c>
      <c r="G19" s="9" t="s">
        <v>223</v>
      </c>
      <c r="H19" s="9" t="s">
        <v>224</v>
      </c>
      <c r="I19" s="8" t="s">
        <v>212</v>
      </c>
      <c r="J19" s="8"/>
      <c r="K19" s="8" t="s">
        <v>201</v>
      </c>
      <c r="L19" s="8" t="s">
        <v>205</v>
      </c>
      <c r="M19" s="8" t="s">
        <v>203</v>
      </c>
    </row>
    <row r="20" spans="1:13" x14ac:dyDescent="0.3">
      <c r="A20" s="11">
        <v>19</v>
      </c>
      <c r="B20" s="10" t="s">
        <v>137</v>
      </c>
      <c r="C20" s="10" t="s">
        <v>162</v>
      </c>
      <c r="D20" s="2">
        <v>39475</v>
      </c>
      <c r="E20" s="10" t="s">
        <v>26</v>
      </c>
      <c r="F20" s="9" t="s">
        <v>225</v>
      </c>
      <c r="G20" s="9" t="s">
        <v>226</v>
      </c>
      <c r="H20" s="9"/>
      <c r="I20" s="8" t="s">
        <v>212</v>
      </c>
      <c r="J20" s="8"/>
      <c r="K20" s="8" t="s">
        <v>201</v>
      </c>
      <c r="L20" s="8" t="s">
        <v>205</v>
      </c>
      <c r="M20" s="8" t="s">
        <v>203</v>
      </c>
    </row>
    <row r="21" spans="1:13" x14ac:dyDescent="0.3">
      <c r="A21" s="11">
        <v>20</v>
      </c>
      <c r="B21" s="10" t="s">
        <v>138</v>
      </c>
      <c r="C21" s="10" t="s">
        <v>163</v>
      </c>
      <c r="D21" s="2">
        <v>39682</v>
      </c>
      <c r="E21" s="10" t="s">
        <v>30</v>
      </c>
      <c r="F21" s="9" t="s">
        <v>227</v>
      </c>
      <c r="G21" s="9" t="s">
        <v>228</v>
      </c>
      <c r="H21" s="9"/>
      <c r="I21" s="8" t="s">
        <v>212</v>
      </c>
      <c r="J21" s="8"/>
      <c r="K21" s="8" t="s">
        <v>201</v>
      </c>
      <c r="L21" s="8" t="s">
        <v>205</v>
      </c>
      <c r="M21" s="8" t="s">
        <v>203</v>
      </c>
    </row>
    <row r="22" spans="1:13" x14ac:dyDescent="0.3">
      <c r="A22" s="11">
        <v>21</v>
      </c>
      <c r="B22" s="10" t="s">
        <v>81</v>
      </c>
      <c r="C22" s="10" t="s">
        <v>164</v>
      </c>
      <c r="D22" s="2">
        <v>39521</v>
      </c>
      <c r="E22" s="10" t="s">
        <v>26</v>
      </c>
      <c r="F22" s="9" t="s">
        <v>209</v>
      </c>
      <c r="G22" s="9" t="s">
        <v>229</v>
      </c>
      <c r="H22" s="9"/>
      <c r="I22" s="8" t="s">
        <v>212</v>
      </c>
      <c r="J22" s="8"/>
      <c r="K22" s="8" t="s">
        <v>201</v>
      </c>
      <c r="L22" s="8" t="s">
        <v>205</v>
      </c>
      <c r="M22" s="8" t="s">
        <v>203</v>
      </c>
    </row>
    <row r="23" spans="1:13" x14ac:dyDescent="0.3">
      <c r="A23" s="11">
        <v>22</v>
      </c>
      <c r="B23" s="10" t="s">
        <v>139</v>
      </c>
      <c r="C23" s="10" t="s">
        <v>165</v>
      </c>
      <c r="D23" s="2">
        <v>39326</v>
      </c>
      <c r="E23" s="10" t="s">
        <v>30</v>
      </c>
      <c r="F23" s="9" t="s">
        <v>215</v>
      </c>
      <c r="G23" s="9">
        <v>71</v>
      </c>
      <c r="H23" s="9"/>
      <c r="I23" s="8" t="s">
        <v>212</v>
      </c>
      <c r="J23" s="8"/>
      <c r="K23" s="8" t="s">
        <v>201</v>
      </c>
      <c r="L23" s="8" t="s">
        <v>205</v>
      </c>
      <c r="M23" s="8" t="s">
        <v>203</v>
      </c>
    </row>
    <row r="24" spans="1:13" x14ac:dyDescent="0.3">
      <c r="A24" s="11">
        <v>23</v>
      </c>
      <c r="B24" s="10" t="s">
        <v>140</v>
      </c>
      <c r="C24" s="10" t="s">
        <v>85</v>
      </c>
      <c r="D24" s="2">
        <v>39599</v>
      </c>
      <c r="E24" s="10" t="s">
        <v>26</v>
      </c>
      <c r="F24" s="9" t="s">
        <v>230</v>
      </c>
      <c r="G24" s="9">
        <v>165</v>
      </c>
      <c r="H24" s="9"/>
      <c r="I24" s="8" t="s">
        <v>231</v>
      </c>
      <c r="J24" s="8"/>
      <c r="K24" s="8" t="s">
        <v>201</v>
      </c>
      <c r="L24" s="8" t="s">
        <v>205</v>
      </c>
      <c r="M24" s="8" t="s">
        <v>203</v>
      </c>
    </row>
    <row r="25" spans="1:13" x14ac:dyDescent="0.3">
      <c r="A25" s="11">
        <v>24</v>
      </c>
      <c r="B25" s="10" t="s">
        <v>129</v>
      </c>
      <c r="C25" s="10" t="s">
        <v>86</v>
      </c>
      <c r="D25" s="2">
        <v>39564</v>
      </c>
      <c r="E25" s="10" t="s">
        <v>30</v>
      </c>
      <c r="F25" s="9" t="s">
        <v>232</v>
      </c>
      <c r="G25" s="9">
        <v>49</v>
      </c>
      <c r="H25" s="9"/>
      <c r="I25" s="8" t="s">
        <v>231</v>
      </c>
      <c r="J25" s="8"/>
      <c r="K25" s="8" t="s">
        <v>201</v>
      </c>
      <c r="L25" s="8" t="s">
        <v>205</v>
      </c>
      <c r="M25" s="8" t="s">
        <v>203</v>
      </c>
    </row>
    <row r="26" spans="1:13" x14ac:dyDescent="0.3">
      <c r="A26" s="11">
        <v>25</v>
      </c>
      <c r="B26" s="10" t="s">
        <v>141</v>
      </c>
      <c r="C26" s="10" t="s">
        <v>166</v>
      </c>
      <c r="D26" s="2">
        <v>39395</v>
      </c>
      <c r="E26" s="10" t="s">
        <v>30</v>
      </c>
      <c r="F26" s="9" t="s">
        <v>233</v>
      </c>
      <c r="G26" s="9" t="s">
        <v>234</v>
      </c>
      <c r="H26" s="9" t="s">
        <v>235</v>
      </c>
      <c r="I26" s="8" t="s">
        <v>231</v>
      </c>
      <c r="J26" s="8"/>
      <c r="K26" s="8" t="s">
        <v>201</v>
      </c>
      <c r="L26" s="8" t="s">
        <v>205</v>
      </c>
      <c r="M26" s="8" t="s">
        <v>203</v>
      </c>
    </row>
    <row r="27" spans="1:13" x14ac:dyDescent="0.3">
      <c r="A27" s="11">
        <v>26</v>
      </c>
      <c r="B27" s="10" t="s">
        <v>89</v>
      </c>
      <c r="C27" s="10" t="s">
        <v>167</v>
      </c>
      <c r="D27" s="2">
        <v>39619</v>
      </c>
      <c r="E27" s="10" t="s">
        <v>30</v>
      </c>
      <c r="F27" s="9" t="s">
        <v>230</v>
      </c>
      <c r="G27" s="9">
        <v>153</v>
      </c>
      <c r="H27" s="9"/>
      <c r="I27" s="8" t="s">
        <v>231</v>
      </c>
      <c r="J27" s="8"/>
      <c r="K27" s="8" t="s">
        <v>201</v>
      </c>
      <c r="L27" s="8" t="s">
        <v>205</v>
      </c>
      <c r="M27" s="8" t="s">
        <v>203</v>
      </c>
    </row>
    <row r="28" spans="1:13" x14ac:dyDescent="0.3">
      <c r="A28" s="11">
        <v>27</v>
      </c>
      <c r="B28" s="10" t="s">
        <v>142</v>
      </c>
      <c r="C28" s="10" t="s">
        <v>68</v>
      </c>
      <c r="D28" s="2">
        <v>39483</v>
      </c>
      <c r="E28" s="10" t="s">
        <v>26</v>
      </c>
      <c r="F28" s="9" t="s">
        <v>236</v>
      </c>
      <c r="G28" s="9">
        <v>125</v>
      </c>
      <c r="H28" s="9"/>
      <c r="I28" s="8" t="s">
        <v>231</v>
      </c>
      <c r="J28" s="8"/>
      <c r="K28" s="8" t="s">
        <v>201</v>
      </c>
      <c r="L28" s="8" t="s">
        <v>205</v>
      </c>
      <c r="M28" s="8" t="s">
        <v>203</v>
      </c>
    </row>
    <row r="29" spans="1:13" x14ac:dyDescent="0.3">
      <c r="A29" s="11">
        <v>28</v>
      </c>
      <c r="B29" s="10" t="s">
        <v>92</v>
      </c>
      <c r="C29" s="10" t="s">
        <v>78</v>
      </c>
      <c r="D29" s="2">
        <v>39472</v>
      </c>
      <c r="E29" s="10" t="s">
        <v>30</v>
      </c>
      <c r="F29" s="9" t="s">
        <v>237</v>
      </c>
      <c r="G29" s="9" t="s">
        <v>238</v>
      </c>
      <c r="H29" s="9" t="s">
        <v>224</v>
      </c>
      <c r="I29" s="8" t="s">
        <v>231</v>
      </c>
      <c r="J29" s="8"/>
      <c r="K29" s="8" t="s">
        <v>201</v>
      </c>
      <c r="L29" s="8" t="s">
        <v>205</v>
      </c>
      <c r="M29" s="8" t="s">
        <v>203</v>
      </c>
    </row>
    <row r="30" spans="1:13" x14ac:dyDescent="0.3">
      <c r="A30" s="11">
        <v>29</v>
      </c>
      <c r="B30" s="10" t="s">
        <v>93</v>
      </c>
      <c r="C30" s="10" t="s">
        <v>94</v>
      </c>
      <c r="D30" s="2">
        <v>39670</v>
      </c>
      <c r="E30" s="10" t="s">
        <v>26</v>
      </c>
      <c r="F30" s="9" t="s">
        <v>232</v>
      </c>
      <c r="G30" s="9">
        <v>53</v>
      </c>
      <c r="H30" s="9"/>
      <c r="I30" s="8" t="s">
        <v>231</v>
      </c>
      <c r="J30" s="8"/>
      <c r="K30" s="8" t="s">
        <v>201</v>
      </c>
      <c r="L30" s="8" t="s">
        <v>205</v>
      </c>
      <c r="M30" s="8" t="s">
        <v>203</v>
      </c>
    </row>
    <row r="31" spans="1:13" x14ac:dyDescent="0.3">
      <c r="A31" s="11">
        <v>30</v>
      </c>
      <c r="B31" s="10" t="s">
        <v>95</v>
      </c>
      <c r="C31" s="10" t="s">
        <v>96</v>
      </c>
      <c r="D31" s="2">
        <v>39633</v>
      </c>
      <c r="E31" s="10" t="s">
        <v>30</v>
      </c>
      <c r="F31" s="9" t="s">
        <v>232</v>
      </c>
      <c r="G31" s="9">
        <v>35</v>
      </c>
      <c r="H31" s="9"/>
      <c r="I31" s="8" t="s">
        <v>231</v>
      </c>
      <c r="J31" s="8"/>
      <c r="K31" s="8" t="s">
        <v>201</v>
      </c>
      <c r="L31" s="8" t="s">
        <v>205</v>
      </c>
      <c r="M31" s="8" t="s">
        <v>203</v>
      </c>
    </row>
    <row r="32" spans="1:13" x14ac:dyDescent="0.3">
      <c r="A32" s="11">
        <v>31</v>
      </c>
      <c r="B32" s="10" t="s">
        <v>60</v>
      </c>
      <c r="C32" s="10" t="s">
        <v>168</v>
      </c>
      <c r="D32" s="2">
        <v>39431</v>
      </c>
      <c r="E32" s="10" t="s">
        <v>26</v>
      </c>
      <c r="F32" s="9" t="s">
        <v>239</v>
      </c>
      <c r="G32" s="9">
        <v>128</v>
      </c>
      <c r="H32" s="9"/>
      <c r="I32" s="8" t="s">
        <v>231</v>
      </c>
      <c r="J32" s="8"/>
      <c r="K32" s="8" t="s">
        <v>201</v>
      </c>
      <c r="L32" s="8" t="s">
        <v>205</v>
      </c>
      <c r="M32" s="8" t="s">
        <v>203</v>
      </c>
    </row>
    <row r="33" spans="1:13" x14ac:dyDescent="0.3">
      <c r="A33" s="11">
        <v>32</v>
      </c>
      <c r="B33" s="10" t="s">
        <v>97</v>
      </c>
      <c r="C33" s="10" t="s">
        <v>98</v>
      </c>
      <c r="D33" s="2">
        <v>39352</v>
      </c>
      <c r="E33" s="10" t="s">
        <v>26</v>
      </c>
      <c r="F33" s="9" t="s">
        <v>236</v>
      </c>
      <c r="G33" s="9">
        <v>107</v>
      </c>
      <c r="H33" s="9"/>
      <c r="I33" s="8" t="s">
        <v>231</v>
      </c>
      <c r="J33" s="8"/>
      <c r="K33" s="8" t="s">
        <v>201</v>
      </c>
      <c r="L33" s="8" t="s">
        <v>205</v>
      </c>
      <c r="M33" s="8" t="s">
        <v>203</v>
      </c>
    </row>
    <row r="34" spans="1:13" x14ac:dyDescent="0.3">
      <c r="A34" s="11">
        <v>33</v>
      </c>
      <c r="B34" s="10" t="s">
        <v>99</v>
      </c>
      <c r="C34" s="10" t="s">
        <v>169</v>
      </c>
      <c r="D34" s="2">
        <v>39528</v>
      </c>
      <c r="E34" s="10" t="s">
        <v>26</v>
      </c>
      <c r="F34" s="9" t="s">
        <v>240</v>
      </c>
      <c r="G34" s="9">
        <v>23</v>
      </c>
      <c r="H34" s="9" t="s">
        <v>241</v>
      </c>
      <c r="I34" s="8" t="s">
        <v>242</v>
      </c>
      <c r="J34" s="8"/>
      <c r="K34" s="8" t="s">
        <v>201</v>
      </c>
      <c r="L34" s="8" t="s">
        <v>249</v>
      </c>
      <c r="M34" s="8" t="s">
        <v>203</v>
      </c>
    </row>
    <row r="35" spans="1:13" x14ac:dyDescent="0.3">
      <c r="A35" s="11">
        <v>34</v>
      </c>
      <c r="B35" s="10" t="s">
        <v>100</v>
      </c>
      <c r="C35" s="10" t="s">
        <v>80</v>
      </c>
      <c r="D35" s="2">
        <v>39486</v>
      </c>
      <c r="E35" s="10" t="s">
        <v>30</v>
      </c>
      <c r="F35" s="9" t="s">
        <v>243</v>
      </c>
      <c r="G35" s="9" t="s">
        <v>244</v>
      </c>
      <c r="H35" s="9"/>
      <c r="I35" s="8" t="s">
        <v>242</v>
      </c>
      <c r="J35" s="8"/>
      <c r="K35" s="8" t="s">
        <v>201</v>
      </c>
      <c r="L35" s="8" t="s">
        <v>249</v>
      </c>
      <c r="M35" s="8" t="s">
        <v>203</v>
      </c>
    </row>
    <row r="36" spans="1:13" x14ac:dyDescent="0.3">
      <c r="A36" s="11">
        <v>35</v>
      </c>
      <c r="B36" s="10" t="s">
        <v>101</v>
      </c>
      <c r="C36" s="10" t="s">
        <v>102</v>
      </c>
      <c r="D36" s="2">
        <v>39652</v>
      </c>
      <c r="E36" s="10" t="s">
        <v>26</v>
      </c>
      <c r="F36" s="9" t="s">
        <v>245</v>
      </c>
      <c r="G36" s="9">
        <v>4</v>
      </c>
      <c r="H36" s="9" t="s">
        <v>246</v>
      </c>
      <c r="I36" s="8" t="s">
        <v>242</v>
      </c>
      <c r="J36" s="8"/>
      <c r="K36" s="8" t="s">
        <v>201</v>
      </c>
      <c r="L36" s="8" t="s">
        <v>249</v>
      </c>
      <c r="M36" s="8" t="s">
        <v>203</v>
      </c>
    </row>
    <row r="37" spans="1:13" x14ac:dyDescent="0.3">
      <c r="A37" s="11">
        <v>36</v>
      </c>
      <c r="B37" s="10" t="s">
        <v>103</v>
      </c>
      <c r="C37" s="10" t="s">
        <v>104</v>
      </c>
      <c r="D37" s="2">
        <v>39598</v>
      </c>
      <c r="E37" s="10" t="s">
        <v>30</v>
      </c>
      <c r="F37" s="9" t="s">
        <v>247</v>
      </c>
      <c r="G37" s="9">
        <v>38</v>
      </c>
      <c r="H37" s="9" t="s">
        <v>248</v>
      </c>
      <c r="I37" s="8" t="s">
        <v>242</v>
      </c>
      <c r="J37" s="8"/>
      <c r="K37" s="8" t="s">
        <v>201</v>
      </c>
      <c r="L37" s="8" t="s">
        <v>249</v>
      </c>
      <c r="M37" s="8" t="s">
        <v>203</v>
      </c>
    </row>
    <row r="38" spans="1:13" x14ac:dyDescent="0.3">
      <c r="A38" s="11">
        <v>37</v>
      </c>
      <c r="B38" s="10" t="s">
        <v>105</v>
      </c>
      <c r="C38" s="10" t="s">
        <v>170</v>
      </c>
      <c r="D38" s="2">
        <v>39453</v>
      </c>
      <c r="E38" s="10" t="s">
        <v>26</v>
      </c>
      <c r="F38" s="9" t="s">
        <v>250</v>
      </c>
      <c r="G38" s="9">
        <v>23</v>
      </c>
      <c r="H38" s="9" t="s">
        <v>251</v>
      </c>
      <c r="I38" s="8" t="s">
        <v>252</v>
      </c>
      <c r="J38" s="8"/>
      <c r="K38" s="8" t="s">
        <v>201</v>
      </c>
      <c r="L38" s="8" t="s">
        <v>249</v>
      </c>
      <c r="M38" s="8" t="s">
        <v>203</v>
      </c>
    </row>
    <row r="39" spans="1:13" x14ac:dyDescent="0.3">
      <c r="A39" s="11">
        <v>38</v>
      </c>
      <c r="B39" s="10" t="s">
        <v>107</v>
      </c>
      <c r="C39" s="10" t="s">
        <v>171</v>
      </c>
      <c r="D39" s="2">
        <v>39694</v>
      </c>
      <c r="E39" s="10" t="s">
        <v>30</v>
      </c>
      <c r="F39" s="9" t="s">
        <v>250</v>
      </c>
      <c r="G39" s="9" t="s">
        <v>253</v>
      </c>
      <c r="H39" s="9"/>
      <c r="I39" s="8" t="s">
        <v>252</v>
      </c>
      <c r="J39" s="8"/>
      <c r="K39" s="8" t="s">
        <v>201</v>
      </c>
      <c r="L39" s="8" t="s">
        <v>249</v>
      </c>
      <c r="M39" s="8" t="s">
        <v>203</v>
      </c>
    </row>
    <row r="40" spans="1:13" x14ac:dyDescent="0.3">
      <c r="A40" s="11">
        <v>39</v>
      </c>
      <c r="B40" s="10" t="s">
        <v>77</v>
      </c>
      <c r="C40" s="10" t="s">
        <v>90</v>
      </c>
      <c r="D40" s="2">
        <v>39611</v>
      </c>
      <c r="E40" s="10" t="s">
        <v>26</v>
      </c>
      <c r="F40" s="9" t="s">
        <v>250</v>
      </c>
      <c r="G40" s="9">
        <v>33</v>
      </c>
      <c r="H40" s="9" t="s">
        <v>254</v>
      </c>
      <c r="I40" s="8" t="s">
        <v>252</v>
      </c>
      <c r="J40" s="8"/>
      <c r="K40" s="8" t="s">
        <v>201</v>
      </c>
      <c r="L40" s="8" t="s">
        <v>249</v>
      </c>
      <c r="M40" s="8" t="s">
        <v>203</v>
      </c>
    </row>
    <row r="41" spans="1:13" x14ac:dyDescent="0.3">
      <c r="A41" s="11">
        <v>40</v>
      </c>
      <c r="B41" s="10" t="s">
        <v>109</v>
      </c>
      <c r="C41" s="10" t="s">
        <v>172</v>
      </c>
      <c r="D41" s="2">
        <v>39532</v>
      </c>
      <c r="E41" s="10" t="s">
        <v>30</v>
      </c>
      <c r="F41" s="9" t="s">
        <v>255</v>
      </c>
      <c r="G41" s="9">
        <v>24</v>
      </c>
      <c r="H41" s="9" t="s">
        <v>254</v>
      </c>
      <c r="I41" s="8" t="s">
        <v>252</v>
      </c>
      <c r="J41" s="8"/>
      <c r="K41" s="8" t="s">
        <v>201</v>
      </c>
      <c r="L41" s="8" t="s">
        <v>249</v>
      </c>
      <c r="M41" s="8" t="s">
        <v>203</v>
      </c>
    </row>
    <row r="42" spans="1:13" x14ac:dyDescent="0.3">
      <c r="A42" s="11">
        <v>41</v>
      </c>
      <c r="B42" s="10" t="s">
        <v>110</v>
      </c>
      <c r="C42" s="10" t="s">
        <v>173</v>
      </c>
      <c r="D42" s="2">
        <v>39405</v>
      </c>
      <c r="E42" s="10" t="s">
        <v>26</v>
      </c>
      <c r="F42" s="9" t="s">
        <v>256</v>
      </c>
      <c r="G42" s="9">
        <v>85</v>
      </c>
      <c r="H42" s="9"/>
      <c r="I42" s="8" t="s">
        <v>257</v>
      </c>
      <c r="J42" s="8"/>
      <c r="K42" s="8" t="s">
        <v>201</v>
      </c>
      <c r="L42" s="8" t="s">
        <v>249</v>
      </c>
      <c r="M42" s="8" t="s">
        <v>203</v>
      </c>
    </row>
    <row r="43" spans="1:13" x14ac:dyDescent="0.3">
      <c r="A43" s="11">
        <v>42</v>
      </c>
      <c r="B43" s="10" t="s">
        <v>111</v>
      </c>
      <c r="C43" s="10" t="s">
        <v>57</v>
      </c>
      <c r="D43" s="2">
        <v>39674</v>
      </c>
      <c r="E43" s="10" t="s">
        <v>30</v>
      </c>
      <c r="F43" s="9" t="s">
        <v>256</v>
      </c>
      <c r="G43" s="9">
        <v>93</v>
      </c>
      <c r="H43" s="9" t="s">
        <v>258</v>
      </c>
      <c r="I43" s="8" t="s">
        <v>257</v>
      </c>
      <c r="J43" s="8"/>
      <c r="K43" s="8" t="s">
        <v>201</v>
      </c>
      <c r="L43" s="8" t="s">
        <v>249</v>
      </c>
      <c r="M43" s="8" t="s">
        <v>203</v>
      </c>
    </row>
    <row r="44" spans="1:13" x14ac:dyDescent="0.3">
      <c r="A44" s="11">
        <v>43</v>
      </c>
      <c r="B44" s="10" t="s">
        <v>112</v>
      </c>
      <c r="C44" s="10" t="s">
        <v>174</v>
      </c>
      <c r="D44" s="2">
        <v>39646</v>
      </c>
      <c r="E44" s="10" t="s">
        <v>26</v>
      </c>
      <c r="F44" s="9" t="s">
        <v>259</v>
      </c>
      <c r="G44" s="9">
        <v>111</v>
      </c>
      <c r="H44" s="9"/>
      <c r="I44" s="8" t="s">
        <v>257</v>
      </c>
      <c r="J44" s="8"/>
      <c r="K44" s="8" t="s">
        <v>201</v>
      </c>
      <c r="L44" s="8" t="s">
        <v>249</v>
      </c>
      <c r="M44" s="8" t="s">
        <v>203</v>
      </c>
    </row>
    <row r="45" spans="1:13" x14ac:dyDescent="0.3">
      <c r="A45" s="11">
        <v>44</v>
      </c>
      <c r="B45" s="10" t="s">
        <v>113</v>
      </c>
      <c r="C45" s="10" t="s">
        <v>175</v>
      </c>
      <c r="D45" s="2">
        <v>39626</v>
      </c>
      <c r="E45" s="10" t="s">
        <v>30</v>
      </c>
      <c r="F45" s="9" t="s">
        <v>260</v>
      </c>
      <c r="G45" s="9" t="s">
        <v>261</v>
      </c>
      <c r="H45" s="9"/>
      <c r="I45" s="8" t="s">
        <v>257</v>
      </c>
      <c r="J45" s="8"/>
      <c r="K45" s="8" t="s">
        <v>201</v>
      </c>
      <c r="L45" s="8" t="s">
        <v>249</v>
      </c>
      <c r="M45" s="8" t="s">
        <v>203</v>
      </c>
    </row>
    <row r="46" spans="1:13" x14ac:dyDescent="0.3">
      <c r="A46" s="11">
        <v>45</v>
      </c>
      <c r="B46" s="10" t="s">
        <v>114</v>
      </c>
      <c r="C46" s="10" t="s">
        <v>176</v>
      </c>
      <c r="D46" s="2">
        <v>39516</v>
      </c>
      <c r="E46" s="10" t="s">
        <v>26</v>
      </c>
      <c r="F46" s="9" t="s">
        <v>260</v>
      </c>
      <c r="G46" s="9" t="s">
        <v>262</v>
      </c>
      <c r="H46" s="9"/>
      <c r="I46" s="8" t="s">
        <v>257</v>
      </c>
      <c r="J46" s="8"/>
      <c r="K46" s="8" t="s">
        <v>201</v>
      </c>
      <c r="L46" s="8" t="s">
        <v>249</v>
      </c>
      <c r="M46" s="8" t="s">
        <v>203</v>
      </c>
    </row>
    <row r="47" spans="1:13" x14ac:dyDescent="0.3">
      <c r="A47" s="11">
        <v>46</v>
      </c>
      <c r="B47" s="10" t="s">
        <v>115</v>
      </c>
      <c r="C47" s="10" t="s">
        <v>177</v>
      </c>
      <c r="D47" s="2">
        <v>39569</v>
      </c>
      <c r="E47" s="10" t="s">
        <v>30</v>
      </c>
      <c r="F47" s="9" t="s">
        <v>263</v>
      </c>
      <c r="G47" s="9">
        <v>53</v>
      </c>
      <c r="H47" s="9"/>
      <c r="I47" s="8" t="s">
        <v>257</v>
      </c>
      <c r="J47" s="8"/>
      <c r="K47" s="8" t="s">
        <v>201</v>
      </c>
      <c r="L47" s="8" t="s">
        <v>249</v>
      </c>
      <c r="M47" s="8" t="s">
        <v>203</v>
      </c>
    </row>
    <row r="48" spans="1:13" x14ac:dyDescent="0.3">
      <c r="A48" s="11">
        <v>47</v>
      </c>
      <c r="B48" s="10" t="s">
        <v>91</v>
      </c>
      <c r="C48" s="10" t="s">
        <v>178</v>
      </c>
      <c r="D48" s="2">
        <v>39355</v>
      </c>
      <c r="E48" s="10" t="s">
        <v>26</v>
      </c>
      <c r="F48" s="9" t="s">
        <v>264</v>
      </c>
      <c r="G48" s="9">
        <v>88</v>
      </c>
      <c r="H48" s="9"/>
      <c r="I48" s="8" t="s">
        <v>257</v>
      </c>
      <c r="J48" s="8"/>
      <c r="K48" s="8" t="s">
        <v>201</v>
      </c>
      <c r="L48" s="8" t="s">
        <v>249</v>
      </c>
      <c r="M48" s="8" t="s">
        <v>203</v>
      </c>
    </row>
    <row r="49" spans="1:13" x14ac:dyDescent="0.3">
      <c r="A49" s="11">
        <v>48</v>
      </c>
      <c r="B49" s="10" t="s">
        <v>116</v>
      </c>
      <c r="C49" s="10" t="s">
        <v>74</v>
      </c>
      <c r="D49" s="2">
        <v>39428</v>
      </c>
      <c r="E49" s="10" t="s">
        <v>30</v>
      </c>
      <c r="F49" s="9" t="s">
        <v>256</v>
      </c>
      <c r="G49" s="9" t="s">
        <v>265</v>
      </c>
      <c r="H49" s="9"/>
      <c r="I49" s="8" t="s">
        <v>257</v>
      </c>
      <c r="J49" s="8"/>
      <c r="K49" s="8" t="s">
        <v>201</v>
      </c>
      <c r="L49" s="8" t="s">
        <v>249</v>
      </c>
      <c r="M49" s="8" t="s">
        <v>203</v>
      </c>
    </row>
    <row r="50" spans="1:13" x14ac:dyDescent="0.3">
      <c r="A50" s="11">
        <v>49</v>
      </c>
      <c r="B50" s="10" t="s">
        <v>117</v>
      </c>
      <c r="C50" s="10" t="s">
        <v>60</v>
      </c>
      <c r="D50" s="2">
        <v>39618</v>
      </c>
      <c r="E50" s="10" t="s">
        <v>26</v>
      </c>
      <c r="F50" s="9" t="s">
        <v>266</v>
      </c>
      <c r="G50" s="9">
        <v>134</v>
      </c>
      <c r="H50" s="9"/>
      <c r="I50" s="8" t="s">
        <v>257</v>
      </c>
      <c r="J50" s="8"/>
      <c r="K50" s="8" t="s">
        <v>201</v>
      </c>
      <c r="L50" s="8" t="s">
        <v>249</v>
      </c>
      <c r="M50" s="8" t="s">
        <v>203</v>
      </c>
    </row>
    <row r="51" spans="1:13" x14ac:dyDescent="0.3">
      <c r="A51" s="11">
        <v>50</v>
      </c>
      <c r="B51" s="10" t="s">
        <v>118</v>
      </c>
      <c r="C51" s="10" t="s">
        <v>179</v>
      </c>
      <c r="D51" s="2">
        <v>39556</v>
      </c>
      <c r="E51" s="10" t="s">
        <v>30</v>
      </c>
      <c r="F51" s="9" t="s">
        <v>267</v>
      </c>
      <c r="G51" s="9">
        <v>163</v>
      </c>
      <c r="H51" s="9"/>
      <c r="I51" s="8" t="s">
        <v>257</v>
      </c>
      <c r="J51" s="8"/>
      <c r="K51" s="8" t="s">
        <v>201</v>
      </c>
      <c r="L51" s="8" t="s">
        <v>249</v>
      </c>
      <c r="M51" s="8" t="s">
        <v>203</v>
      </c>
    </row>
    <row r="52" spans="1:13" x14ac:dyDescent="0.3">
      <c r="A52" s="11">
        <v>51</v>
      </c>
      <c r="B52" s="10" t="s">
        <v>119</v>
      </c>
      <c r="C52" s="10" t="s">
        <v>180</v>
      </c>
      <c r="D52" s="2">
        <v>39402</v>
      </c>
      <c r="E52" s="10" t="s">
        <v>26</v>
      </c>
      <c r="F52" s="9" t="s">
        <v>259</v>
      </c>
      <c r="G52" s="9">
        <v>103</v>
      </c>
      <c r="H52" s="9" t="s">
        <v>241</v>
      </c>
      <c r="I52" s="8" t="s">
        <v>257</v>
      </c>
      <c r="J52" s="8"/>
      <c r="K52" s="8" t="s">
        <v>201</v>
      </c>
      <c r="L52" s="8" t="s">
        <v>249</v>
      </c>
      <c r="M52" s="8" t="s">
        <v>203</v>
      </c>
    </row>
    <row r="53" spans="1:13" x14ac:dyDescent="0.3">
      <c r="A53" s="11">
        <v>52</v>
      </c>
      <c r="B53" s="10" t="s">
        <v>120</v>
      </c>
      <c r="C53" s="10" t="s">
        <v>181</v>
      </c>
      <c r="D53" s="2">
        <v>39667</v>
      </c>
      <c r="E53" s="10" t="s">
        <v>30</v>
      </c>
      <c r="F53" s="9" t="s">
        <v>268</v>
      </c>
      <c r="G53" s="9">
        <v>99</v>
      </c>
      <c r="H53" s="9" t="s">
        <v>241</v>
      </c>
      <c r="I53" s="8" t="s">
        <v>269</v>
      </c>
      <c r="J53" s="8"/>
      <c r="K53" s="8" t="s">
        <v>201</v>
      </c>
      <c r="L53" s="8" t="s">
        <v>249</v>
      </c>
      <c r="M53" s="8" t="s">
        <v>203</v>
      </c>
    </row>
    <row r="54" spans="1:13" x14ac:dyDescent="0.3">
      <c r="A54" s="11">
        <v>53</v>
      </c>
      <c r="B54" s="10" t="s">
        <v>121</v>
      </c>
      <c r="C54" s="10" t="s">
        <v>182</v>
      </c>
      <c r="D54" s="2">
        <v>39634</v>
      </c>
      <c r="E54" s="10" t="s">
        <v>26</v>
      </c>
      <c r="F54" s="9" t="s">
        <v>270</v>
      </c>
      <c r="G54" s="9" t="s">
        <v>271</v>
      </c>
      <c r="H54" s="9" t="s">
        <v>235</v>
      </c>
      <c r="I54" s="8" t="s">
        <v>269</v>
      </c>
      <c r="J54" s="8"/>
      <c r="K54" s="8" t="s">
        <v>201</v>
      </c>
      <c r="L54" s="8" t="s">
        <v>249</v>
      </c>
      <c r="M54" s="8" t="s">
        <v>203</v>
      </c>
    </row>
    <row r="55" spans="1:13" x14ac:dyDescent="0.3">
      <c r="A55" s="11">
        <v>54</v>
      </c>
      <c r="B55" s="10" t="s">
        <v>122</v>
      </c>
      <c r="C55" s="10" t="s">
        <v>88</v>
      </c>
      <c r="D55" s="2">
        <v>39561</v>
      </c>
      <c r="E55" s="10" t="s">
        <v>30</v>
      </c>
      <c r="F55" s="9" t="s">
        <v>272</v>
      </c>
      <c r="G55" s="9">
        <v>17</v>
      </c>
      <c r="H55" s="9"/>
      <c r="I55" s="8" t="s">
        <v>273</v>
      </c>
      <c r="J55" s="8"/>
      <c r="K55" s="8" t="s">
        <v>201</v>
      </c>
      <c r="L55" s="8" t="s">
        <v>295</v>
      </c>
      <c r="M55" s="8" t="s">
        <v>203</v>
      </c>
    </row>
    <row r="56" spans="1:13" x14ac:dyDescent="0.3">
      <c r="A56" s="11">
        <v>55</v>
      </c>
      <c r="B56" s="10" t="s">
        <v>123</v>
      </c>
      <c r="C56" s="10" t="s">
        <v>68</v>
      </c>
      <c r="D56" s="2">
        <v>39481</v>
      </c>
      <c r="E56" s="10" t="s">
        <v>26</v>
      </c>
      <c r="F56" s="9" t="s">
        <v>274</v>
      </c>
      <c r="G56" s="9">
        <v>45</v>
      </c>
      <c r="H56" s="9"/>
      <c r="I56" s="8" t="s">
        <v>275</v>
      </c>
      <c r="J56" s="8"/>
      <c r="K56" s="8" t="s">
        <v>201</v>
      </c>
      <c r="L56" s="8" t="s">
        <v>295</v>
      </c>
      <c r="M56" s="8" t="s">
        <v>203</v>
      </c>
    </row>
    <row r="57" spans="1:13" x14ac:dyDescent="0.3">
      <c r="A57" s="11">
        <v>56</v>
      </c>
      <c r="B57" s="10" t="s">
        <v>33</v>
      </c>
      <c r="C57" s="10" t="s">
        <v>183</v>
      </c>
      <c r="D57" s="2">
        <v>39436</v>
      </c>
      <c r="E57" s="10" t="s">
        <v>30</v>
      </c>
      <c r="F57" s="9" t="s">
        <v>276</v>
      </c>
      <c r="G57" s="9">
        <v>3</v>
      </c>
      <c r="H57" s="9"/>
      <c r="I57" s="8" t="s">
        <v>277</v>
      </c>
      <c r="J57" s="8"/>
      <c r="K57" s="8" t="s">
        <v>201</v>
      </c>
      <c r="L57" s="8" t="s">
        <v>295</v>
      </c>
      <c r="M57" s="8" t="s">
        <v>203</v>
      </c>
    </row>
    <row r="58" spans="1:13" x14ac:dyDescent="0.3">
      <c r="A58" s="11">
        <v>57</v>
      </c>
      <c r="B58" s="10" t="s">
        <v>87</v>
      </c>
      <c r="C58" s="10" t="s">
        <v>184</v>
      </c>
      <c r="D58" s="2">
        <v>39657</v>
      </c>
      <c r="E58" s="10" t="s">
        <v>26</v>
      </c>
      <c r="F58" s="9" t="s">
        <v>278</v>
      </c>
      <c r="G58" s="9" t="s">
        <v>279</v>
      </c>
      <c r="H58" s="9"/>
      <c r="I58" s="8" t="s">
        <v>280</v>
      </c>
      <c r="J58" s="8"/>
      <c r="K58" s="8" t="s">
        <v>201</v>
      </c>
      <c r="L58" s="8" t="s">
        <v>295</v>
      </c>
      <c r="M58" s="8" t="s">
        <v>203</v>
      </c>
    </row>
    <row r="59" spans="1:13" x14ac:dyDescent="0.3">
      <c r="A59" s="11">
        <v>58</v>
      </c>
      <c r="B59" s="10" t="s">
        <v>124</v>
      </c>
      <c r="C59" s="10" t="s">
        <v>185</v>
      </c>
      <c r="D59" s="2">
        <v>39610</v>
      </c>
      <c r="E59" s="10" t="s">
        <v>30</v>
      </c>
      <c r="F59" s="9" t="s">
        <v>281</v>
      </c>
      <c r="G59" s="9">
        <v>4</v>
      </c>
      <c r="H59" s="9" t="s">
        <v>246</v>
      </c>
      <c r="I59" s="8" t="s">
        <v>282</v>
      </c>
      <c r="J59" s="8"/>
      <c r="K59" s="8" t="s">
        <v>201</v>
      </c>
      <c r="L59" s="8" t="s">
        <v>295</v>
      </c>
      <c r="M59" s="8" t="s">
        <v>203</v>
      </c>
    </row>
    <row r="60" spans="1:13" x14ac:dyDescent="0.3">
      <c r="A60" s="11">
        <v>59</v>
      </c>
      <c r="B60" s="10" t="s">
        <v>53</v>
      </c>
      <c r="C60" s="10" t="s">
        <v>186</v>
      </c>
      <c r="D60" s="2">
        <v>39531</v>
      </c>
      <c r="E60" s="10" t="s">
        <v>26</v>
      </c>
      <c r="F60" s="9" t="s">
        <v>283</v>
      </c>
      <c r="G60" s="9">
        <v>9</v>
      </c>
      <c r="H60" s="9"/>
      <c r="I60" s="8" t="s">
        <v>284</v>
      </c>
      <c r="J60" s="8"/>
      <c r="K60" s="8" t="s">
        <v>201</v>
      </c>
      <c r="L60" s="8" t="s">
        <v>295</v>
      </c>
      <c r="M60" s="8" t="s">
        <v>203</v>
      </c>
    </row>
    <row r="61" spans="1:13" x14ac:dyDescent="0.3">
      <c r="A61" s="11">
        <v>60</v>
      </c>
      <c r="B61" s="10" t="s">
        <v>95</v>
      </c>
      <c r="C61" s="10" t="s">
        <v>187</v>
      </c>
      <c r="D61" s="2">
        <v>39476</v>
      </c>
      <c r="E61" s="10" t="s">
        <v>30</v>
      </c>
      <c r="F61" s="9" t="s">
        <v>285</v>
      </c>
      <c r="G61" s="9">
        <v>9</v>
      </c>
      <c r="H61" s="9"/>
      <c r="I61" s="8" t="s">
        <v>286</v>
      </c>
      <c r="J61" s="8"/>
      <c r="K61" s="8" t="s">
        <v>201</v>
      </c>
      <c r="L61" s="8" t="s">
        <v>295</v>
      </c>
      <c r="M61" s="8" t="s">
        <v>203</v>
      </c>
    </row>
    <row r="62" spans="1:13" x14ac:dyDescent="0.3">
      <c r="A62" s="11">
        <v>61</v>
      </c>
      <c r="B62" s="10" t="s">
        <v>31</v>
      </c>
      <c r="C62" s="10" t="s">
        <v>188</v>
      </c>
      <c r="D62" s="2">
        <v>39670</v>
      </c>
      <c r="E62" s="10" t="s">
        <v>26</v>
      </c>
      <c r="F62" s="9" t="s">
        <v>287</v>
      </c>
      <c r="G62" s="9">
        <v>23</v>
      </c>
      <c r="H62" s="9"/>
      <c r="I62" s="8" t="s">
        <v>288</v>
      </c>
      <c r="J62" s="8"/>
      <c r="K62" s="8" t="s">
        <v>201</v>
      </c>
      <c r="L62" s="8" t="s">
        <v>295</v>
      </c>
      <c r="M62" s="8" t="s">
        <v>203</v>
      </c>
    </row>
    <row r="63" spans="1:13" x14ac:dyDescent="0.3">
      <c r="A63" s="11">
        <v>62</v>
      </c>
      <c r="B63" s="10" t="s">
        <v>75</v>
      </c>
      <c r="C63" s="10" t="s">
        <v>189</v>
      </c>
      <c r="D63" s="2">
        <v>39643</v>
      </c>
      <c r="E63" s="10" t="s">
        <v>30</v>
      </c>
      <c r="F63" s="9" t="s">
        <v>289</v>
      </c>
      <c r="G63" s="9">
        <v>3</v>
      </c>
      <c r="H63" s="9"/>
      <c r="I63" s="8" t="s">
        <v>290</v>
      </c>
      <c r="J63" s="8"/>
      <c r="K63" s="8" t="s">
        <v>201</v>
      </c>
      <c r="L63" s="8" t="s">
        <v>295</v>
      </c>
      <c r="M63" s="8" t="s">
        <v>203</v>
      </c>
    </row>
    <row r="64" spans="1:13" x14ac:dyDescent="0.3">
      <c r="A64" s="11">
        <v>63</v>
      </c>
      <c r="B64" s="10" t="s">
        <v>125</v>
      </c>
      <c r="C64" s="10" t="s">
        <v>76</v>
      </c>
      <c r="D64" s="2">
        <v>39625</v>
      </c>
      <c r="E64" s="10" t="s">
        <v>26</v>
      </c>
      <c r="F64" s="9" t="s">
        <v>291</v>
      </c>
      <c r="G64" s="9">
        <v>19</v>
      </c>
      <c r="H64" s="9"/>
      <c r="I64" s="8" t="s">
        <v>292</v>
      </c>
      <c r="J64" s="8"/>
      <c r="K64" s="8" t="s">
        <v>201</v>
      </c>
      <c r="L64" s="8" t="s">
        <v>295</v>
      </c>
      <c r="M64" s="8" t="s">
        <v>203</v>
      </c>
    </row>
    <row r="65" spans="1:13" x14ac:dyDescent="0.3">
      <c r="A65" s="11">
        <v>64</v>
      </c>
      <c r="B65" s="10" t="s">
        <v>79</v>
      </c>
      <c r="C65" s="10" t="s">
        <v>66</v>
      </c>
      <c r="D65" s="2">
        <v>39523</v>
      </c>
      <c r="E65" s="10" t="s">
        <v>30</v>
      </c>
      <c r="F65" s="9" t="s">
        <v>293</v>
      </c>
      <c r="G65" s="9">
        <v>9</v>
      </c>
      <c r="H65" s="9"/>
      <c r="I65" s="8" t="s">
        <v>294</v>
      </c>
      <c r="J65" s="8"/>
      <c r="K65" s="8" t="s">
        <v>201</v>
      </c>
      <c r="L65" s="8" t="s">
        <v>295</v>
      </c>
      <c r="M65" s="8" t="s">
        <v>203</v>
      </c>
    </row>
    <row r="66" spans="1:13" x14ac:dyDescent="0.3">
      <c r="A66" s="11">
        <v>65</v>
      </c>
      <c r="B66" s="10" t="s">
        <v>126</v>
      </c>
      <c r="C66" s="10" t="s">
        <v>108</v>
      </c>
      <c r="D66" s="2">
        <v>39480</v>
      </c>
      <c r="E66" s="10" t="s">
        <v>26</v>
      </c>
      <c r="F66" s="9" t="s">
        <v>296</v>
      </c>
      <c r="G66" s="9">
        <v>59</v>
      </c>
      <c r="H66" s="9"/>
      <c r="I66" s="8" t="s">
        <v>297</v>
      </c>
      <c r="J66" s="8"/>
      <c r="K66" s="8" t="s">
        <v>201</v>
      </c>
      <c r="L66" s="8" t="s">
        <v>295</v>
      </c>
      <c r="M66" s="8" t="s">
        <v>203</v>
      </c>
    </row>
    <row r="67" spans="1:13" x14ac:dyDescent="0.3">
      <c r="A67" s="11">
        <v>66</v>
      </c>
      <c r="B67" s="10" t="s">
        <v>63</v>
      </c>
      <c r="C67" s="10" t="s">
        <v>84</v>
      </c>
      <c r="D67" s="2">
        <v>39392</v>
      </c>
      <c r="E67" s="10" t="s">
        <v>30</v>
      </c>
      <c r="F67" s="9" t="s">
        <v>298</v>
      </c>
      <c r="G67" s="9">
        <v>15</v>
      </c>
      <c r="H67" s="9"/>
      <c r="I67" s="8" t="s">
        <v>299</v>
      </c>
      <c r="J67" s="8"/>
      <c r="K67" s="8" t="s">
        <v>201</v>
      </c>
      <c r="L67" s="8" t="s">
        <v>295</v>
      </c>
      <c r="M67" s="8" t="s">
        <v>203</v>
      </c>
    </row>
    <row r="68" spans="1:13" x14ac:dyDescent="0.3">
      <c r="A68" s="11">
        <v>67</v>
      </c>
      <c r="B68" s="10" t="s">
        <v>93</v>
      </c>
      <c r="C68" s="10" t="s">
        <v>25</v>
      </c>
      <c r="D68" s="2">
        <v>39577</v>
      </c>
      <c r="E68" s="10" t="s">
        <v>26</v>
      </c>
      <c r="F68" s="9" t="s">
        <v>300</v>
      </c>
      <c r="G68" s="9">
        <v>78</v>
      </c>
      <c r="H68" s="9"/>
      <c r="I68" s="8" t="s">
        <v>301</v>
      </c>
      <c r="J68" s="8"/>
      <c r="K68" s="8" t="s">
        <v>201</v>
      </c>
      <c r="L68" s="8" t="s">
        <v>295</v>
      </c>
      <c r="M68" s="8" t="s">
        <v>203</v>
      </c>
    </row>
    <row r="69" spans="1:13" x14ac:dyDescent="0.3">
      <c r="A69" s="11">
        <v>68</v>
      </c>
      <c r="B69" s="10" t="s">
        <v>51</v>
      </c>
      <c r="C69" s="10" t="s">
        <v>106</v>
      </c>
      <c r="D69" s="2">
        <v>39375</v>
      </c>
      <c r="E69" s="10" t="s">
        <v>30</v>
      </c>
      <c r="F69" s="9" t="s">
        <v>302</v>
      </c>
      <c r="G69" s="9">
        <v>54</v>
      </c>
      <c r="H69" s="9"/>
      <c r="I69" s="8" t="s">
        <v>303</v>
      </c>
      <c r="J69" s="8"/>
      <c r="K69" s="8" t="s">
        <v>201</v>
      </c>
      <c r="L69" s="8" t="s">
        <v>295</v>
      </c>
      <c r="M69" s="8" t="s">
        <v>203</v>
      </c>
    </row>
    <row r="70" spans="1:13" x14ac:dyDescent="0.3">
      <c r="A70" s="11">
        <v>69</v>
      </c>
      <c r="B70" s="10" t="s">
        <v>61</v>
      </c>
      <c r="C70" s="10" t="s">
        <v>72</v>
      </c>
      <c r="D70" s="2">
        <v>39657</v>
      </c>
      <c r="E70" s="10" t="s">
        <v>26</v>
      </c>
      <c r="F70" s="9" t="s">
        <v>304</v>
      </c>
      <c r="G70" s="9" t="s">
        <v>305</v>
      </c>
      <c r="H70" s="9"/>
      <c r="I70" s="8" t="s">
        <v>306</v>
      </c>
      <c r="J70" s="8"/>
      <c r="K70" s="8" t="s">
        <v>201</v>
      </c>
      <c r="L70" s="8" t="s">
        <v>295</v>
      </c>
      <c r="M70" s="8" t="s">
        <v>203</v>
      </c>
    </row>
    <row r="71" spans="1:13" x14ac:dyDescent="0.3">
      <c r="A71" s="11">
        <v>70</v>
      </c>
      <c r="B71" s="10" t="s">
        <v>28</v>
      </c>
      <c r="C71" s="10" t="s">
        <v>47</v>
      </c>
      <c r="D71" s="2">
        <v>39603</v>
      </c>
      <c r="E71" s="10" t="s">
        <v>30</v>
      </c>
      <c r="F71" s="9" t="s">
        <v>307</v>
      </c>
      <c r="G71" s="9" t="s">
        <v>308</v>
      </c>
      <c r="H71" s="9" t="s">
        <v>309</v>
      </c>
      <c r="I71" s="8" t="s">
        <v>310</v>
      </c>
      <c r="J71" s="8"/>
      <c r="K71" s="8" t="s">
        <v>201</v>
      </c>
      <c r="L71" s="8" t="s">
        <v>295</v>
      </c>
      <c r="M71" s="8" t="s">
        <v>203</v>
      </c>
    </row>
    <row r="72" spans="1:13" x14ac:dyDescent="0.3">
      <c r="A72" s="11">
        <v>71</v>
      </c>
      <c r="B72" s="10" t="s">
        <v>145</v>
      </c>
      <c r="C72" s="10" t="s">
        <v>70</v>
      </c>
      <c r="D72" s="2">
        <v>39496</v>
      </c>
      <c r="E72" s="10" t="s">
        <v>26</v>
      </c>
      <c r="F72" s="9" t="s">
        <v>311</v>
      </c>
      <c r="G72" s="9">
        <v>4</v>
      </c>
      <c r="H72" s="9"/>
      <c r="I72" s="8" t="s">
        <v>312</v>
      </c>
      <c r="J72" s="8"/>
      <c r="K72" s="8" t="s">
        <v>201</v>
      </c>
      <c r="L72" s="8" t="s">
        <v>295</v>
      </c>
      <c r="M72" s="8" t="s">
        <v>203</v>
      </c>
    </row>
    <row r="73" spans="1:13" x14ac:dyDescent="0.3">
      <c r="A73" s="11">
        <v>72</v>
      </c>
      <c r="B73" s="10" t="s">
        <v>89</v>
      </c>
      <c r="C73" s="10" t="s">
        <v>34</v>
      </c>
      <c r="D73" s="2">
        <v>39675</v>
      </c>
      <c r="E73" s="10" t="s">
        <v>30</v>
      </c>
      <c r="F73" s="9" t="s">
        <v>313</v>
      </c>
      <c r="G73" s="9" t="s">
        <v>314</v>
      </c>
      <c r="H73" s="9"/>
      <c r="I73" s="8" t="s">
        <v>315</v>
      </c>
      <c r="J73" s="8"/>
      <c r="K73" s="8" t="s">
        <v>201</v>
      </c>
      <c r="L73" s="8" t="s">
        <v>295</v>
      </c>
      <c r="M73" s="8" t="s">
        <v>203</v>
      </c>
    </row>
    <row r="74" spans="1:13" x14ac:dyDescent="0.3">
      <c r="A74" s="11">
        <v>73</v>
      </c>
      <c r="B74" s="10" t="s">
        <v>146</v>
      </c>
      <c r="C74" s="10" t="s">
        <v>58</v>
      </c>
      <c r="D74" s="2">
        <v>39642</v>
      </c>
      <c r="E74" s="10" t="s">
        <v>30</v>
      </c>
      <c r="F74" s="9" t="s">
        <v>316</v>
      </c>
      <c r="G74" s="9" t="s">
        <v>317</v>
      </c>
      <c r="H74" s="9"/>
      <c r="I74" s="8" t="s">
        <v>318</v>
      </c>
      <c r="J74" s="8"/>
      <c r="K74" s="8" t="s">
        <v>201</v>
      </c>
      <c r="L74" s="8" t="s">
        <v>295</v>
      </c>
      <c r="M74" s="8" t="s">
        <v>203</v>
      </c>
    </row>
    <row r="75" spans="1:13" x14ac:dyDescent="0.3">
      <c r="A75" s="11">
        <v>74</v>
      </c>
      <c r="B75" s="10" t="s">
        <v>71</v>
      </c>
      <c r="C75" s="10" t="s">
        <v>50</v>
      </c>
      <c r="D75" s="2">
        <v>39568</v>
      </c>
      <c r="E75" s="10" t="s">
        <v>30</v>
      </c>
      <c r="F75" s="9" t="s">
        <v>319</v>
      </c>
      <c r="G75" s="9" t="s">
        <v>320</v>
      </c>
      <c r="H75" s="9" t="s">
        <v>321</v>
      </c>
      <c r="I75" s="8" t="s">
        <v>322</v>
      </c>
      <c r="J75" s="8"/>
      <c r="K75" s="8" t="s">
        <v>201</v>
      </c>
      <c r="L75" s="8" t="s">
        <v>295</v>
      </c>
      <c r="M75" s="8" t="s">
        <v>203</v>
      </c>
    </row>
    <row r="76" spans="1:13" x14ac:dyDescent="0.3">
      <c r="A76" s="11">
        <v>75</v>
      </c>
      <c r="B76" s="10" t="s">
        <v>57</v>
      </c>
      <c r="C76" s="10" t="s">
        <v>32</v>
      </c>
      <c r="D76" s="2">
        <v>39528</v>
      </c>
      <c r="E76" s="10" t="s">
        <v>26</v>
      </c>
      <c r="F76" s="9" t="s">
        <v>323</v>
      </c>
      <c r="G76" s="9">
        <v>13</v>
      </c>
      <c r="H76" s="9"/>
      <c r="I76" s="8" t="s">
        <v>324</v>
      </c>
      <c r="J76" s="8"/>
      <c r="K76" s="8" t="s">
        <v>201</v>
      </c>
      <c r="L76" s="8" t="s">
        <v>295</v>
      </c>
      <c r="M76" s="8" t="s">
        <v>203</v>
      </c>
    </row>
    <row r="77" spans="1:13" x14ac:dyDescent="0.3">
      <c r="A77" s="11">
        <v>76</v>
      </c>
      <c r="B77" s="10" t="s">
        <v>55</v>
      </c>
      <c r="C77" s="10" t="s">
        <v>56</v>
      </c>
      <c r="D77" s="2">
        <v>39326</v>
      </c>
      <c r="E77" s="10" t="s">
        <v>30</v>
      </c>
      <c r="F77" s="9" t="s">
        <v>325</v>
      </c>
      <c r="G77" s="9" t="s">
        <v>326</v>
      </c>
      <c r="H77" s="9" t="s">
        <v>327</v>
      </c>
      <c r="I77" s="8" t="s">
        <v>328</v>
      </c>
      <c r="J77" s="8"/>
      <c r="K77" s="8" t="s">
        <v>201</v>
      </c>
      <c r="L77" s="8" t="s">
        <v>295</v>
      </c>
      <c r="M77" s="8" t="s">
        <v>203</v>
      </c>
    </row>
    <row r="78" spans="1:13" x14ac:dyDescent="0.3">
      <c r="A78" s="11">
        <v>77</v>
      </c>
      <c r="B78" s="10" t="s">
        <v>77</v>
      </c>
      <c r="C78" s="10" t="s">
        <v>29</v>
      </c>
      <c r="D78" s="2">
        <v>39691</v>
      </c>
      <c r="E78" s="10" t="s">
        <v>26</v>
      </c>
      <c r="F78" s="9" t="s">
        <v>329</v>
      </c>
      <c r="G78" s="9">
        <v>228</v>
      </c>
      <c r="H78" s="9" t="s">
        <v>330</v>
      </c>
      <c r="I78" s="8" t="s">
        <v>331</v>
      </c>
      <c r="J78" s="8"/>
      <c r="K78" s="8" t="s">
        <v>201</v>
      </c>
      <c r="L78" s="8" t="s">
        <v>295</v>
      </c>
      <c r="M78" s="8" t="s">
        <v>203</v>
      </c>
    </row>
    <row r="79" spans="1:13" x14ac:dyDescent="0.3">
      <c r="A79" s="11">
        <v>78</v>
      </c>
      <c r="B79" s="10" t="s">
        <v>83</v>
      </c>
      <c r="C79" s="10" t="s">
        <v>54</v>
      </c>
      <c r="D79" s="2">
        <v>39549</v>
      </c>
      <c r="E79" s="10" t="s">
        <v>30</v>
      </c>
      <c r="F79" s="9" t="s">
        <v>332</v>
      </c>
      <c r="G79" s="9" t="s">
        <v>333</v>
      </c>
      <c r="H79" s="9" t="s">
        <v>334</v>
      </c>
      <c r="I79" s="8" t="s">
        <v>335</v>
      </c>
      <c r="J79" s="8"/>
      <c r="K79" s="8" t="s">
        <v>201</v>
      </c>
      <c r="L79" s="8" t="s">
        <v>295</v>
      </c>
      <c r="M79" s="8" t="s">
        <v>203</v>
      </c>
    </row>
    <row r="80" spans="1:13" x14ac:dyDescent="0.3">
      <c r="A80" s="11">
        <v>79</v>
      </c>
      <c r="B80" s="10" t="s">
        <v>144</v>
      </c>
      <c r="C80" s="10" t="s">
        <v>52</v>
      </c>
      <c r="D80" s="2">
        <v>39450</v>
      </c>
      <c r="E80" s="10" t="s">
        <v>26</v>
      </c>
      <c r="F80" s="9" t="s">
        <v>336</v>
      </c>
      <c r="G80" s="9" t="s">
        <v>337</v>
      </c>
      <c r="H80" s="9" t="s">
        <v>338</v>
      </c>
      <c r="I80" s="8" t="s">
        <v>339</v>
      </c>
      <c r="J80" s="8"/>
      <c r="K80" s="8" t="s">
        <v>201</v>
      </c>
      <c r="L80" s="8" t="s">
        <v>295</v>
      </c>
      <c r="M80" s="8" t="s">
        <v>203</v>
      </c>
    </row>
    <row r="81" spans="1:13" x14ac:dyDescent="0.3">
      <c r="A81" s="11">
        <v>80</v>
      </c>
      <c r="B81" s="10" t="s">
        <v>143</v>
      </c>
      <c r="C81" s="10" t="s">
        <v>62</v>
      </c>
      <c r="D81" s="2">
        <v>39413</v>
      </c>
      <c r="E81" s="10" t="s">
        <v>30</v>
      </c>
      <c r="F81" s="9" t="s">
        <v>340</v>
      </c>
      <c r="G81" s="9" t="s">
        <v>337</v>
      </c>
      <c r="H81" s="9" t="s">
        <v>341</v>
      </c>
      <c r="I81" s="8" t="s">
        <v>339</v>
      </c>
      <c r="J81" s="8"/>
      <c r="K81" s="8" t="s">
        <v>201</v>
      </c>
      <c r="L81" s="8" t="s">
        <v>295</v>
      </c>
      <c r="M81" s="8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workbookViewId="0">
      <selection activeCell="F27" sqref="F27"/>
    </sheetView>
  </sheetViews>
  <sheetFormatPr defaultRowHeight="14.4" x14ac:dyDescent="0.3"/>
  <cols>
    <col min="1" max="1" width="11.6640625" bestFit="1" customWidth="1"/>
    <col min="2" max="2" width="7.44140625" bestFit="1" customWidth="1"/>
    <col min="3" max="3" width="18.21875" bestFit="1" customWidth="1"/>
    <col min="4" max="4" width="17.109375" bestFit="1" customWidth="1"/>
    <col min="5" max="5" width="26.77734375" style="12" bestFit="1" customWidth="1"/>
    <col min="6" max="8" width="12.44140625" bestFit="1" customWidth="1"/>
    <col min="9" max="9" width="18.109375" bestFit="1" customWidth="1"/>
    <col min="10" max="10" width="14.5546875" bestFit="1" customWidth="1"/>
    <col min="11" max="13" width="18.109375" bestFit="1" customWidth="1"/>
    <col min="14" max="14" width="23.88671875" bestFit="1" customWidth="1"/>
    <col min="15" max="15" width="20.33203125" bestFit="1" customWidth="1"/>
    <col min="16" max="18" width="29.21875" bestFit="1" customWidth="1"/>
    <col min="19" max="19" width="35" bestFit="1" customWidth="1"/>
    <col min="20" max="20" width="25.21875" bestFit="1" customWidth="1"/>
  </cols>
  <sheetData>
    <row r="1" spans="1:20" x14ac:dyDescent="0.3">
      <c r="A1" t="s">
        <v>1</v>
      </c>
      <c r="B1" t="s">
        <v>0</v>
      </c>
      <c r="C1" t="s">
        <v>44</v>
      </c>
      <c r="D1" t="s">
        <v>45</v>
      </c>
      <c r="E1" s="12" t="s">
        <v>6</v>
      </c>
      <c r="F1" t="s">
        <v>342</v>
      </c>
      <c r="G1" t="s">
        <v>343</v>
      </c>
      <c r="H1" t="s">
        <v>344</v>
      </c>
      <c r="I1" t="s">
        <v>345</v>
      </c>
      <c r="J1" t="s">
        <v>346</v>
      </c>
      <c r="K1" t="s">
        <v>347</v>
      </c>
      <c r="L1" s="12" t="s">
        <v>348</v>
      </c>
      <c r="M1" s="12" t="s">
        <v>349</v>
      </c>
      <c r="N1" t="s">
        <v>350</v>
      </c>
      <c r="O1" t="s">
        <v>351</v>
      </c>
      <c r="P1" t="s">
        <v>352</v>
      </c>
      <c r="Q1" s="12" t="s">
        <v>354</v>
      </c>
      <c r="R1" s="12" t="s">
        <v>353</v>
      </c>
      <c r="S1" t="s">
        <v>355</v>
      </c>
      <c r="T1" t="s">
        <v>356</v>
      </c>
    </row>
    <row r="2" spans="1:20" x14ac:dyDescent="0.3">
      <c r="A2" s="11">
        <v>1</v>
      </c>
      <c r="B2" s="10" t="s">
        <v>15</v>
      </c>
      <c r="C2" s="10" t="s">
        <v>127</v>
      </c>
      <c r="D2" s="10" t="s">
        <v>147</v>
      </c>
      <c r="E2" s="4">
        <v>3.59</v>
      </c>
      <c r="F2" s="3">
        <v>34</v>
      </c>
      <c r="G2" s="3">
        <v>35</v>
      </c>
      <c r="H2" s="3">
        <v>35</v>
      </c>
      <c r="I2" s="3">
        <f>AVERAGE(F2:H2)</f>
        <v>34.666666666666664</v>
      </c>
      <c r="J2" s="3">
        <f>_xlfn.STDEV.P(F2:H2)</f>
        <v>0.47140452079103168</v>
      </c>
      <c r="K2" s="3">
        <v>14</v>
      </c>
      <c r="L2" s="3">
        <v>14</v>
      </c>
      <c r="M2" s="3">
        <v>13</v>
      </c>
      <c r="N2" s="3">
        <f>AVERAGE(K2:M2)</f>
        <v>13.666666666666666</v>
      </c>
      <c r="O2" s="3">
        <f>_xlfn.STDEV.P(K2:M2)</f>
        <v>0.47140452079103168</v>
      </c>
      <c r="P2" s="3">
        <v>4</v>
      </c>
      <c r="Q2" s="3">
        <v>2</v>
      </c>
      <c r="R2" s="3">
        <v>4</v>
      </c>
      <c r="S2" s="3">
        <f>AVERAGE(P2:R2)</f>
        <v>3.3333333333333335</v>
      </c>
      <c r="T2" s="3">
        <f>_xlfn.STDEV.P(P2:R2)</f>
        <v>0.94280904158206336</v>
      </c>
    </row>
    <row r="3" spans="1:20" x14ac:dyDescent="0.3">
      <c r="A3" s="11">
        <v>2</v>
      </c>
      <c r="B3" s="7" t="s">
        <v>15</v>
      </c>
      <c r="C3" s="10" t="s">
        <v>128</v>
      </c>
      <c r="D3" s="10" t="s">
        <v>148</v>
      </c>
      <c r="E3" s="5">
        <v>5.99</v>
      </c>
      <c r="F3" s="3">
        <v>40</v>
      </c>
      <c r="G3" s="3">
        <v>47</v>
      </c>
      <c r="H3" s="3">
        <v>45</v>
      </c>
      <c r="I3" s="3">
        <f>AVERAGE(F3:H3)</f>
        <v>44</v>
      </c>
      <c r="J3" s="3">
        <f>_xlfn.STDEV.P(F3:H3)</f>
        <v>2.9439202887759488</v>
      </c>
      <c r="K3" s="3">
        <v>14</v>
      </c>
      <c r="L3" s="3">
        <v>13</v>
      </c>
      <c r="M3" s="3">
        <v>13</v>
      </c>
      <c r="N3" s="3">
        <f>AVERAGE(K3:M3)</f>
        <v>13.333333333333334</v>
      </c>
      <c r="O3" s="3">
        <f>_xlfn.STDEV.P(K3:M3)</f>
        <v>0.47140452079103168</v>
      </c>
      <c r="P3" s="3">
        <v>4</v>
      </c>
      <c r="Q3" s="3">
        <v>7</v>
      </c>
      <c r="R3" s="3">
        <v>3</v>
      </c>
      <c r="S3" s="3">
        <f t="shared" ref="S3:S21" si="0">AVERAGE(P3:R3)</f>
        <v>4.666666666666667</v>
      </c>
      <c r="T3" s="3">
        <f t="shared" ref="T3:T21" si="1">_xlfn.STDEV.P(P3:R3)</f>
        <v>1.699673171197595</v>
      </c>
    </row>
    <row r="4" spans="1:20" x14ac:dyDescent="0.3">
      <c r="A4" s="11">
        <v>3</v>
      </c>
      <c r="B4" s="10" t="s">
        <v>15</v>
      </c>
      <c r="C4" s="10" t="s">
        <v>46</v>
      </c>
      <c r="D4" s="10" t="s">
        <v>149</v>
      </c>
      <c r="E4" s="4">
        <v>0.51</v>
      </c>
      <c r="F4" s="3">
        <v>13</v>
      </c>
      <c r="G4" s="3">
        <v>14</v>
      </c>
      <c r="H4" s="3">
        <v>13</v>
      </c>
      <c r="I4" s="3">
        <f>AVERAGE(F4:H4)</f>
        <v>13.333333333333334</v>
      </c>
      <c r="J4" s="3">
        <f>_xlfn.STDEV.P(F4:H4)</f>
        <v>0.47140452079103168</v>
      </c>
      <c r="K4" s="3">
        <v>16</v>
      </c>
      <c r="L4" s="3">
        <v>15</v>
      </c>
      <c r="M4" s="3">
        <v>16</v>
      </c>
      <c r="N4" s="3">
        <f>AVERAGE(K4:M4)</f>
        <v>15.666666666666666</v>
      </c>
      <c r="O4" s="3">
        <f>_xlfn.STDEV.P(K4:M4)</f>
        <v>0.47140452079103168</v>
      </c>
      <c r="P4" s="3">
        <v>4</v>
      </c>
      <c r="Q4" s="3">
        <v>5</v>
      </c>
      <c r="R4" s="3">
        <v>4</v>
      </c>
      <c r="S4" s="3">
        <f t="shared" si="0"/>
        <v>4.333333333333333</v>
      </c>
      <c r="T4" s="3">
        <f t="shared" si="1"/>
        <v>0.47140452079103168</v>
      </c>
    </row>
    <row r="5" spans="1:20" x14ac:dyDescent="0.3">
      <c r="A5" s="11">
        <v>4</v>
      </c>
      <c r="B5" s="10" t="s">
        <v>15</v>
      </c>
      <c r="C5" s="10" t="s">
        <v>48</v>
      </c>
      <c r="D5" s="10" t="s">
        <v>150</v>
      </c>
      <c r="E5" s="4">
        <v>7.15</v>
      </c>
      <c r="F5" s="3">
        <v>42</v>
      </c>
      <c r="G5" s="3">
        <v>44</v>
      </c>
      <c r="H5" s="3">
        <v>47</v>
      </c>
      <c r="I5" s="3">
        <f>AVERAGE(F5:H5)</f>
        <v>44.333333333333336</v>
      </c>
      <c r="J5" s="3">
        <f>_xlfn.STDEV.P(F5:H5)</f>
        <v>2.0548046676563256</v>
      </c>
      <c r="K5" s="3">
        <v>12</v>
      </c>
      <c r="L5" s="3">
        <v>12</v>
      </c>
      <c r="M5" s="3">
        <v>13</v>
      </c>
      <c r="N5" s="3">
        <f>AVERAGE(K5:M5)</f>
        <v>12.333333333333334</v>
      </c>
      <c r="O5" s="3">
        <f>_xlfn.STDEV.P(K5:M5)</f>
        <v>0.47140452079103168</v>
      </c>
      <c r="P5" s="3">
        <v>5</v>
      </c>
      <c r="Q5" s="3">
        <v>4</v>
      </c>
      <c r="R5" s="3">
        <v>4</v>
      </c>
      <c r="S5" s="3">
        <f t="shared" si="0"/>
        <v>4.333333333333333</v>
      </c>
      <c r="T5" s="3">
        <f t="shared" si="1"/>
        <v>0.47140452079103168</v>
      </c>
    </row>
    <row r="6" spans="1:20" x14ac:dyDescent="0.3">
      <c r="A6" s="11">
        <v>5</v>
      </c>
      <c r="B6" s="10" t="s">
        <v>15</v>
      </c>
      <c r="C6" s="10" t="s">
        <v>49</v>
      </c>
      <c r="D6" s="10" t="s">
        <v>151</v>
      </c>
      <c r="E6" s="4">
        <v>5.84</v>
      </c>
      <c r="F6" s="3">
        <v>30</v>
      </c>
      <c r="G6" s="3">
        <v>22</v>
      </c>
      <c r="H6" s="3">
        <v>37</v>
      </c>
      <c r="I6" s="3">
        <f>AVERAGE(F6:H6)</f>
        <v>29.666666666666668</v>
      </c>
      <c r="J6" s="3">
        <f>_xlfn.STDEV.P(F6:H6)</f>
        <v>6.1282587702834119</v>
      </c>
      <c r="K6" s="3">
        <v>13</v>
      </c>
      <c r="L6" s="3">
        <v>13</v>
      </c>
      <c r="M6" s="3">
        <v>13</v>
      </c>
      <c r="N6" s="3">
        <f>AVERAGE(K6:M6)</f>
        <v>13</v>
      </c>
      <c r="O6" s="3">
        <f>_xlfn.STDEV.P(K6:M6)</f>
        <v>0</v>
      </c>
      <c r="P6" s="3">
        <v>5</v>
      </c>
      <c r="Q6" s="3">
        <v>3</v>
      </c>
      <c r="R6" s="3">
        <v>4</v>
      </c>
      <c r="S6" s="3">
        <f t="shared" si="0"/>
        <v>4</v>
      </c>
      <c r="T6" s="3">
        <f t="shared" si="1"/>
        <v>0.81649658092772603</v>
      </c>
    </row>
    <row r="7" spans="1:20" x14ac:dyDescent="0.3">
      <c r="A7" s="11">
        <v>21</v>
      </c>
      <c r="B7" s="10" t="s">
        <v>16</v>
      </c>
      <c r="C7" s="10" t="s">
        <v>81</v>
      </c>
      <c r="D7" s="10" t="s">
        <v>164</v>
      </c>
      <c r="E7" s="4">
        <v>1.65</v>
      </c>
      <c r="F7" s="3">
        <v>14</v>
      </c>
      <c r="G7" s="3">
        <v>7</v>
      </c>
      <c r="H7" s="3">
        <v>15</v>
      </c>
      <c r="I7" s="3">
        <f>AVERAGE(F7:H7)</f>
        <v>12</v>
      </c>
      <c r="J7" s="3">
        <f>_xlfn.STDEV.P(F7:H7)</f>
        <v>3.5590260840104371</v>
      </c>
      <c r="K7" s="3">
        <v>15</v>
      </c>
      <c r="L7" s="3">
        <v>14</v>
      </c>
      <c r="M7" s="3">
        <v>14</v>
      </c>
      <c r="N7" s="3">
        <f>AVERAGE(K7:M7)</f>
        <v>14.333333333333334</v>
      </c>
      <c r="O7" s="3">
        <f>_xlfn.STDEV.P(K7:M7)</f>
        <v>0.47140452079103168</v>
      </c>
      <c r="P7" s="3">
        <v>4</v>
      </c>
      <c r="Q7" s="3">
        <v>4</v>
      </c>
      <c r="R7" s="3">
        <v>4</v>
      </c>
      <c r="S7" s="3">
        <f t="shared" si="0"/>
        <v>4</v>
      </c>
      <c r="T7" s="3">
        <f t="shared" si="1"/>
        <v>0</v>
      </c>
    </row>
    <row r="8" spans="1:20" x14ac:dyDescent="0.3">
      <c r="A8" s="11">
        <v>22</v>
      </c>
      <c r="B8" s="10" t="s">
        <v>16</v>
      </c>
      <c r="C8" s="10" t="s">
        <v>139</v>
      </c>
      <c r="D8" s="10" t="s">
        <v>165</v>
      </c>
      <c r="E8" s="4">
        <v>7.79</v>
      </c>
      <c r="F8" s="3">
        <v>58</v>
      </c>
      <c r="G8" s="3">
        <v>59</v>
      </c>
      <c r="H8" s="3">
        <v>53</v>
      </c>
      <c r="I8" s="3">
        <f>AVERAGE(F8:H8)</f>
        <v>56.666666666666664</v>
      </c>
      <c r="J8" s="3">
        <f>_xlfn.STDEV.P(F8:H8)</f>
        <v>2.6246692913372702</v>
      </c>
      <c r="K8" s="3">
        <v>13</v>
      </c>
      <c r="L8" s="3">
        <v>11</v>
      </c>
      <c r="M8" s="3">
        <v>13</v>
      </c>
      <c r="N8" s="3">
        <f>AVERAGE(K8:M8)</f>
        <v>12.333333333333334</v>
      </c>
      <c r="O8" s="3">
        <f>_xlfn.STDEV.P(K8:M8)</f>
        <v>0.94280904158206336</v>
      </c>
      <c r="P8" s="3">
        <v>6</v>
      </c>
      <c r="Q8" s="3">
        <v>7</v>
      </c>
      <c r="R8" s="3">
        <v>5</v>
      </c>
      <c r="S8" s="3">
        <f t="shared" si="0"/>
        <v>6</v>
      </c>
      <c r="T8" s="3">
        <f t="shared" si="1"/>
        <v>0.81649658092772603</v>
      </c>
    </row>
    <row r="9" spans="1:20" x14ac:dyDescent="0.3">
      <c r="A9" s="11">
        <v>23</v>
      </c>
      <c r="B9" s="10" t="s">
        <v>16</v>
      </c>
      <c r="C9" s="10" t="s">
        <v>140</v>
      </c>
      <c r="D9" s="10" t="s">
        <v>85</v>
      </c>
      <c r="E9" s="4">
        <v>8.64</v>
      </c>
      <c r="F9" s="3">
        <v>70</v>
      </c>
      <c r="G9" s="3">
        <v>71</v>
      </c>
      <c r="H9" s="3">
        <v>71</v>
      </c>
      <c r="I9" s="3">
        <f>AVERAGE(F9:H9)</f>
        <v>70.666666666666671</v>
      </c>
      <c r="J9" s="3">
        <f>_xlfn.STDEV.P(F9:H9)</f>
        <v>0.47140452079103168</v>
      </c>
      <c r="K9" s="3">
        <v>12</v>
      </c>
      <c r="L9" s="3">
        <v>11</v>
      </c>
      <c r="M9" s="3">
        <v>12</v>
      </c>
      <c r="N9" s="3">
        <f>AVERAGE(K9:M9)</f>
        <v>11.666666666666666</v>
      </c>
      <c r="O9" s="3">
        <f>_xlfn.STDEV.P(K9:M9)</f>
        <v>0.47140452079103168</v>
      </c>
      <c r="P9" s="3">
        <v>7</v>
      </c>
      <c r="Q9" s="3">
        <v>4</v>
      </c>
      <c r="R9" s="3">
        <v>7</v>
      </c>
      <c r="S9" s="3">
        <f t="shared" si="0"/>
        <v>6</v>
      </c>
      <c r="T9" s="3">
        <f t="shared" si="1"/>
        <v>1.4142135623730951</v>
      </c>
    </row>
    <row r="10" spans="1:20" x14ac:dyDescent="0.3">
      <c r="A10" s="11">
        <v>24</v>
      </c>
      <c r="B10" s="10" t="s">
        <v>16</v>
      </c>
      <c r="C10" s="10" t="s">
        <v>129</v>
      </c>
      <c r="D10" s="10" t="s">
        <v>86</v>
      </c>
      <c r="E10" s="4">
        <v>4.12</v>
      </c>
      <c r="F10" s="3">
        <v>38</v>
      </c>
      <c r="G10" s="3">
        <v>40</v>
      </c>
      <c r="H10" s="3">
        <v>47</v>
      </c>
      <c r="I10" s="3">
        <f>AVERAGE(F10:H10)</f>
        <v>41.666666666666664</v>
      </c>
      <c r="J10" s="3">
        <f>_xlfn.STDEV.P(F10:H10)</f>
        <v>3.8586123009300755</v>
      </c>
      <c r="K10" s="3">
        <v>14</v>
      </c>
      <c r="L10" s="3">
        <v>14</v>
      </c>
      <c r="M10" s="3">
        <v>12</v>
      </c>
      <c r="N10" s="3">
        <f>AVERAGE(K10:M10)</f>
        <v>13.333333333333334</v>
      </c>
      <c r="O10" s="3">
        <f>_xlfn.STDEV.P(K10:M10)</f>
        <v>0.94280904158206336</v>
      </c>
      <c r="P10" s="3">
        <v>4</v>
      </c>
      <c r="Q10" s="3">
        <v>6</v>
      </c>
      <c r="R10" s="3">
        <v>4</v>
      </c>
      <c r="S10" s="3">
        <f t="shared" si="0"/>
        <v>4.666666666666667</v>
      </c>
      <c r="T10" s="3">
        <f t="shared" si="1"/>
        <v>0.94280904158206336</v>
      </c>
    </row>
    <row r="11" spans="1:20" x14ac:dyDescent="0.3">
      <c r="A11" s="11">
        <v>25</v>
      </c>
      <c r="B11" s="10" t="s">
        <v>16</v>
      </c>
      <c r="C11" s="10" t="s">
        <v>141</v>
      </c>
      <c r="D11" s="10" t="s">
        <v>166</v>
      </c>
      <c r="E11" s="4">
        <v>2.87</v>
      </c>
      <c r="F11" s="3">
        <v>17</v>
      </c>
      <c r="G11" s="3">
        <v>16</v>
      </c>
      <c r="H11" s="3">
        <v>17</v>
      </c>
      <c r="I11" s="3">
        <f>AVERAGE(F11:H11)</f>
        <v>16.666666666666668</v>
      </c>
      <c r="J11" s="3">
        <f>_xlfn.STDEV.P(F11:H11)</f>
        <v>0.47140452079103168</v>
      </c>
      <c r="K11" s="3">
        <v>14</v>
      </c>
      <c r="L11" s="3">
        <v>15</v>
      </c>
      <c r="M11" s="3">
        <v>16</v>
      </c>
      <c r="N11" s="3">
        <f>AVERAGE(K11:M11)</f>
        <v>15</v>
      </c>
      <c r="O11" s="3">
        <f>_xlfn.STDEV.P(K11:M11)</f>
        <v>0.81649658092772603</v>
      </c>
      <c r="P11" s="3">
        <v>4</v>
      </c>
      <c r="Q11" s="3">
        <v>4</v>
      </c>
      <c r="R11" s="3">
        <v>6</v>
      </c>
      <c r="S11" s="3">
        <f t="shared" si="0"/>
        <v>4.666666666666667</v>
      </c>
      <c r="T11" s="3">
        <f t="shared" si="1"/>
        <v>0.94280904158206336</v>
      </c>
    </row>
    <row r="12" spans="1:20" x14ac:dyDescent="0.3">
      <c r="A12" s="11">
        <v>41</v>
      </c>
      <c r="B12" s="10" t="s">
        <v>17</v>
      </c>
      <c r="C12" s="10" t="s">
        <v>110</v>
      </c>
      <c r="D12" s="10" t="s">
        <v>173</v>
      </c>
      <c r="E12" s="4">
        <v>4.76</v>
      </c>
      <c r="F12" s="3">
        <v>38</v>
      </c>
      <c r="G12" s="3">
        <v>39</v>
      </c>
      <c r="H12" s="3">
        <v>40</v>
      </c>
      <c r="I12" s="3">
        <f>AVERAGE(F12:H12)</f>
        <v>39</v>
      </c>
      <c r="J12" s="3">
        <f>_xlfn.STDEV.P(F12:H12)</f>
        <v>0.81649658092772603</v>
      </c>
      <c r="K12" s="3">
        <v>13</v>
      </c>
      <c r="L12" s="3">
        <v>14</v>
      </c>
      <c r="M12" s="3">
        <v>12</v>
      </c>
      <c r="N12" s="3">
        <f>AVERAGE(K12:M12)</f>
        <v>13</v>
      </c>
      <c r="O12" s="3">
        <f>_xlfn.STDEV.P(K12:M12)</f>
        <v>0.81649658092772603</v>
      </c>
      <c r="P12" s="3">
        <v>4</v>
      </c>
      <c r="Q12" s="3">
        <v>5</v>
      </c>
      <c r="R12" s="3">
        <v>4</v>
      </c>
      <c r="S12" s="3">
        <f t="shared" si="0"/>
        <v>4.333333333333333</v>
      </c>
      <c r="T12" s="3">
        <f t="shared" si="1"/>
        <v>0.47140452079103168</v>
      </c>
    </row>
    <row r="13" spans="1:20" x14ac:dyDescent="0.3">
      <c r="A13" s="11">
        <v>42</v>
      </c>
      <c r="B13" s="10" t="s">
        <v>17</v>
      </c>
      <c r="C13" s="10" t="s">
        <v>111</v>
      </c>
      <c r="D13" s="10" t="s">
        <v>57</v>
      </c>
      <c r="E13" s="4">
        <v>2.0099999999999998</v>
      </c>
      <c r="F13" s="3">
        <v>15</v>
      </c>
      <c r="G13" s="3">
        <v>19</v>
      </c>
      <c r="H13" s="3">
        <v>16</v>
      </c>
      <c r="I13" s="3">
        <f>AVERAGE(F13:H13)</f>
        <v>16.666666666666668</v>
      </c>
      <c r="J13" s="3">
        <f>_xlfn.STDEV.P(F13:H13)</f>
        <v>1.699673171197595</v>
      </c>
      <c r="K13" s="3">
        <v>15</v>
      </c>
      <c r="L13" s="3">
        <v>13</v>
      </c>
      <c r="M13" s="3">
        <v>12</v>
      </c>
      <c r="N13" s="3">
        <f>AVERAGE(K13:M13)</f>
        <v>13.333333333333334</v>
      </c>
      <c r="O13" s="3">
        <f>_xlfn.STDEV.P(K13:M13)</f>
        <v>1.247219128924647</v>
      </c>
      <c r="P13" s="3">
        <v>5</v>
      </c>
      <c r="Q13" s="3">
        <v>4</v>
      </c>
      <c r="R13" s="3">
        <v>5</v>
      </c>
      <c r="S13" s="3">
        <f t="shared" si="0"/>
        <v>4.666666666666667</v>
      </c>
      <c r="T13" s="3">
        <f t="shared" si="1"/>
        <v>0.47140452079103168</v>
      </c>
    </row>
    <row r="14" spans="1:20" x14ac:dyDescent="0.3">
      <c r="A14" s="11">
        <v>43</v>
      </c>
      <c r="B14" s="10" t="s">
        <v>17</v>
      </c>
      <c r="C14" s="10" t="s">
        <v>112</v>
      </c>
      <c r="D14" s="10" t="s">
        <v>174</v>
      </c>
      <c r="E14" s="4">
        <v>3.33</v>
      </c>
      <c r="F14" s="3">
        <v>25</v>
      </c>
      <c r="G14" s="3">
        <v>26</v>
      </c>
      <c r="H14" s="3">
        <v>27</v>
      </c>
      <c r="I14" s="3">
        <f>AVERAGE(F14:H14)</f>
        <v>26</v>
      </c>
      <c r="J14" s="3">
        <f>_xlfn.STDEV.P(F14:H14)</f>
        <v>0.81649658092772603</v>
      </c>
      <c r="K14" s="3">
        <v>15</v>
      </c>
      <c r="L14" s="3">
        <v>14</v>
      </c>
      <c r="M14" s="3">
        <v>14</v>
      </c>
      <c r="N14" s="3">
        <f>AVERAGE(K14:M14)</f>
        <v>14.333333333333334</v>
      </c>
      <c r="O14" s="3">
        <f>_xlfn.STDEV.P(K14:M14)</f>
        <v>0.47140452079103168</v>
      </c>
      <c r="P14" s="3">
        <v>5</v>
      </c>
      <c r="Q14" s="3">
        <v>4</v>
      </c>
      <c r="R14" s="3">
        <v>5</v>
      </c>
      <c r="S14" s="3">
        <f t="shared" si="0"/>
        <v>4.666666666666667</v>
      </c>
      <c r="T14" s="3">
        <f t="shared" si="1"/>
        <v>0.47140452079103168</v>
      </c>
    </row>
    <row r="15" spans="1:20" x14ac:dyDescent="0.3">
      <c r="A15" s="11">
        <v>44</v>
      </c>
      <c r="B15" s="10" t="s">
        <v>17</v>
      </c>
      <c r="C15" s="10" t="s">
        <v>113</v>
      </c>
      <c r="D15" s="10" t="s">
        <v>175</v>
      </c>
      <c r="E15" s="4">
        <v>8.64</v>
      </c>
      <c r="F15" s="3">
        <v>65</v>
      </c>
      <c r="G15" s="3">
        <v>65</v>
      </c>
      <c r="H15" s="3">
        <v>64</v>
      </c>
      <c r="I15" s="3">
        <f>AVERAGE(F15:H15)</f>
        <v>64.666666666666671</v>
      </c>
      <c r="J15" s="3">
        <f>_xlfn.STDEV.P(F15:H15)</f>
        <v>0.47140452079103168</v>
      </c>
      <c r="K15" s="3">
        <v>12</v>
      </c>
      <c r="L15" s="3">
        <v>11</v>
      </c>
      <c r="M15" s="3">
        <v>11</v>
      </c>
      <c r="N15" s="3">
        <f>AVERAGE(K15:M15)</f>
        <v>11.333333333333334</v>
      </c>
      <c r="O15" s="3">
        <f>_xlfn.STDEV.P(K15:M15)</f>
        <v>0.47140452079103168</v>
      </c>
      <c r="P15" s="3">
        <v>4</v>
      </c>
      <c r="Q15" s="3">
        <v>5</v>
      </c>
      <c r="R15" s="3">
        <v>6</v>
      </c>
      <c r="S15" s="3">
        <f t="shared" si="0"/>
        <v>5</v>
      </c>
      <c r="T15" s="3">
        <f t="shared" si="1"/>
        <v>0.81649658092772603</v>
      </c>
    </row>
    <row r="16" spans="1:20" x14ac:dyDescent="0.3">
      <c r="A16" s="11">
        <v>45</v>
      </c>
      <c r="B16" s="10" t="s">
        <v>17</v>
      </c>
      <c r="C16" s="10" t="s">
        <v>114</v>
      </c>
      <c r="D16" s="10" t="s">
        <v>176</v>
      </c>
      <c r="E16" s="4">
        <v>3.09</v>
      </c>
      <c r="F16" s="3">
        <v>22</v>
      </c>
      <c r="G16" s="3">
        <v>20</v>
      </c>
      <c r="H16" s="3">
        <v>23</v>
      </c>
      <c r="I16" s="3">
        <f>AVERAGE(F16:H16)</f>
        <v>21.666666666666668</v>
      </c>
      <c r="J16" s="3">
        <f>_xlfn.STDEV.P(F16:H16)</f>
        <v>1.247219128924647</v>
      </c>
      <c r="K16" s="3">
        <v>15</v>
      </c>
      <c r="L16" s="3">
        <v>15</v>
      </c>
      <c r="M16" s="3">
        <v>15</v>
      </c>
      <c r="N16" s="3">
        <f>AVERAGE(K16:M16)</f>
        <v>15</v>
      </c>
      <c r="O16" s="3">
        <f>_xlfn.STDEV.P(K16:M16)</f>
        <v>0</v>
      </c>
      <c r="P16" s="3">
        <v>6</v>
      </c>
      <c r="Q16" s="3">
        <v>7</v>
      </c>
      <c r="R16" s="3">
        <v>4</v>
      </c>
      <c r="S16" s="3">
        <f t="shared" si="0"/>
        <v>5.666666666666667</v>
      </c>
      <c r="T16" s="3">
        <f t="shared" si="1"/>
        <v>1.247219128924647</v>
      </c>
    </row>
    <row r="17" spans="1:20" x14ac:dyDescent="0.3">
      <c r="A17" s="11">
        <v>61</v>
      </c>
      <c r="B17" s="10" t="s">
        <v>18</v>
      </c>
      <c r="C17" s="10" t="s">
        <v>31</v>
      </c>
      <c r="D17" s="10" t="s">
        <v>188</v>
      </c>
      <c r="E17" s="4">
        <v>3.33</v>
      </c>
      <c r="F17" s="3">
        <v>24</v>
      </c>
      <c r="G17" s="3">
        <v>23</v>
      </c>
      <c r="H17" s="3">
        <v>24</v>
      </c>
      <c r="I17" s="3">
        <f>AVERAGE(F17:H17)</f>
        <v>23.666666666666668</v>
      </c>
      <c r="J17" s="3">
        <f>_xlfn.STDEV.P(F17:H17)</f>
        <v>0.47140452079103168</v>
      </c>
      <c r="K17" s="3">
        <v>14</v>
      </c>
      <c r="L17" s="3">
        <v>16</v>
      </c>
      <c r="M17" s="3">
        <v>13</v>
      </c>
      <c r="N17" s="3">
        <f>AVERAGE(K17:M17)</f>
        <v>14.333333333333334</v>
      </c>
      <c r="O17" s="3">
        <f>_xlfn.STDEV.P(K17:M17)</f>
        <v>1.247219128924647</v>
      </c>
      <c r="P17" s="3">
        <v>5</v>
      </c>
      <c r="Q17" s="3">
        <v>4</v>
      </c>
      <c r="R17" s="3">
        <v>5</v>
      </c>
      <c r="S17" s="3">
        <f t="shared" si="0"/>
        <v>4.666666666666667</v>
      </c>
      <c r="T17" s="3">
        <f t="shared" si="1"/>
        <v>0.47140452079103168</v>
      </c>
    </row>
    <row r="18" spans="1:20" x14ac:dyDescent="0.3">
      <c r="A18" s="11">
        <v>62</v>
      </c>
      <c r="B18" s="10" t="s">
        <v>18</v>
      </c>
      <c r="C18" s="10" t="s">
        <v>75</v>
      </c>
      <c r="D18" s="10" t="s">
        <v>189</v>
      </c>
      <c r="E18" s="4">
        <v>8.9</v>
      </c>
      <c r="F18" s="3">
        <v>68</v>
      </c>
      <c r="G18" s="3">
        <v>65</v>
      </c>
      <c r="H18" s="3">
        <v>68</v>
      </c>
      <c r="I18" s="3">
        <f>AVERAGE(F18:H18)</f>
        <v>67</v>
      </c>
      <c r="J18" s="3">
        <f>_xlfn.STDEV.P(F18:H18)</f>
        <v>1.4142135623730951</v>
      </c>
      <c r="K18" s="3">
        <v>11</v>
      </c>
      <c r="L18" s="3">
        <v>10</v>
      </c>
      <c r="M18" s="3">
        <v>10</v>
      </c>
      <c r="N18" s="3">
        <f>AVERAGE(K18:M18)</f>
        <v>10.333333333333334</v>
      </c>
      <c r="O18" s="3">
        <f>_xlfn.STDEV.P(K18:M18)</f>
        <v>0.47140452079103168</v>
      </c>
      <c r="P18" s="3">
        <v>4</v>
      </c>
      <c r="Q18" s="3">
        <v>4</v>
      </c>
      <c r="R18" s="3">
        <v>7</v>
      </c>
      <c r="S18" s="3">
        <f t="shared" si="0"/>
        <v>5</v>
      </c>
      <c r="T18" s="3">
        <f t="shared" si="1"/>
        <v>1.4142135623730951</v>
      </c>
    </row>
    <row r="19" spans="1:20" x14ac:dyDescent="0.3">
      <c r="A19" s="11">
        <v>63</v>
      </c>
      <c r="B19" s="10" t="s">
        <v>18</v>
      </c>
      <c r="C19" s="10" t="s">
        <v>125</v>
      </c>
      <c r="D19" s="10" t="s">
        <v>76</v>
      </c>
      <c r="E19" s="4">
        <v>0.78</v>
      </c>
      <c r="F19" s="3">
        <v>13</v>
      </c>
      <c r="G19" s="3">
        <v>12</v>
      </c>
      <c r="H19" s="3">
        <v>12</v>
      </c>
      <c r="I19" s="3">
        <f>AVERAGE(F19:H19)</f>
        <v>12.333333333333334</v>
      </c>
      <c r="J19" s="3">
        <f>_xlfn.STDEV.P(F19:H19)</f>
        <v>0.47140452079103168</v>
      </c>
      <c r="K19" s="3">
        <v>15</v>
      </c>
      <c r="L19" s="3">
        <v>15</v>
      </c>
      <c r="M19" s="3">
        <v>15</v>
      </c>
      <c r="N19" s="3">
        <f>AVERAGE(K19:M19)</f>
        <v>15</v>
      </c>
      <c r="O19" s="3">
        <f>_xlfn.STDEV.P(K19:M19)</f>
        <v>0</v>
      </c>
      <c r="P19" s="3">
        <v>4</v>
      </c>
      <c r="Q19" s="3">
        <v>1</v>
      </c>
      <c r="R19" s="3">
        <v>9</v>
      </c>
      <c r="S19" s="3">
        <f t="shared" si="0"/>
        <v>4.666666666666667</v>
      </c>
      <c r="T19" s="3">
        <f t="shared" si="1"/>
        <v>3.2998316455372216</v>
      </c>
    </row>
    <row r="20" spans="1:20" x14ac:dyDescent="0.3">
      <c r="A20" s="11">
        <v>64</v>
      </c>
      <c r="B20" s="10" t="s">
        <v>18</v>
      </c>
      <c r="C20" s="10" t="s">
        <v>79</v>
      </c>
      <c r="D20" s="10" t="s">
        <v>66</v>
      </c>
      <c r="E20" s="4">
        <v>7.42</v>
      </c>
      <c r="F20" s="3">
        <v>50</v>
      </c>
      <c r="G20" s="3">
        <v>50</v>
      </c>
      <c r="H20" s="3">
        <v>51</v>
      </c>
      <c r="I20" s="3">
        <f>AVERAGE(F20:H20)</f>
        <v>50.333333333333336</v>
      </c>
      <c r="J20" s="3">
        <f>_xlfn.STDEV.P(F20:H20)</f>
        <v>0.47140452079103168</v>
      </c>
      <c r="K20" s="3">
        <v>13</v>
      </c>
      <c r="L20" s="3">
        <v>14</v>
      </c>
      <c r="M20" s="3">
        <v>11</v>
      </c>
      <c r="N20" s="3">
        <f>AVERAGE(K20:M20)</f>
        <v>12.666666666666666</v>
      </c>
      <c r="O20" s="3">
        <f>_xlfn.STDEV.P(K20:M20)</f>
        <v>1.247219128924647</v>
      </c>
      <c r="P20" s="3">
        <v>4</v>
      </c>
      <c r="Q20" s="3">
        <v>2</v>
      </c>
      <c r="R20" s="3">
        <v>10</v>
      </c>
      <c r="S20" s="3">
        <f t="shared" si="0"/>
        <v>5.333333333333333</v>
      </c>
      <c r="T20" s="3">
        <f t="shared" si="1"/>
        <v>3.39934634239519</v>
      </c>
    </row>
    <row r="21" spans="1:20" x14ac:dyDescent="0.3">
      <c r="A21" s="11">
        <v>65</v>
      </c>
      <c r="B21" s="10" t="s">
        <v>18</v>
      </c>
      <c r="C21" s="10" t="s">
        <v>126</v>
      </c>
      <c r="D21" s="10" t="s">
        <v>108</v>
      </c>
      <c r="E21" s="4">
        <v>4.22</v>
      </c>
      <c r="F21" s="3">
        <v>37</v>
      </c>
      <c r="G21" s="3">
        <v>32</v>
      </c>
      <c r="H21" s="3">
        <v>33</v>
      </c>
      <c r="I21" s="3">
        <f>AVERAGE(F21:H21)</f>
        <v>34</v>
      </c>
      <c r="J21" s="3">
        <f>_xlfn.STDEV.P(F21:H21)</f>
        <v>2.1602468994692869</v>
      </c>
      <c r="K21" s="3">
        <v>14</v>
      </c>
      <c r="L21" s="3">
        <v>14</v>
      </c>
      <c r="M21" s="3">
        <v>14</v>
      </c>
      <c r="N21" s="3">
        <f>AVERAGE(K21:M21)</f>
        <v>14</v>
      </c>
      <c r="O21" s="3">
        <f>_xlfn.STDEV.P(K21:M21)</f>
        <v>0</v>
      </c>
      <c r="P21" s="3">
        <v>4</v>
      </c>
      <c r="Q21" s="3">
        <v>2</v>
      </c>
      <c r="R21" s="3">
        <v>5</v>
      </c>
      <c r="S21" s="3">
        <f t="shared" si="0"/>
        <v>3.6666666666666665</v>
      </c>
      <c r="T21" s="3">
        <f t="shared" si="1"/>
        <v>1.247219128924647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FactWholeYear10</vt:lpstr>
      <vt:lpstr>DimFormTutor</vt:lpstr>
      <vt:lpstr>DimStudent</vt:lpstr>
      <vt:lpstr>DimOrFactSportsDay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2023-06-11T21:42:51Z</dcterms:created>
  <dcterms:modified xsi:type="dcterms:W3CDTF">2023-06-12T14:56:35Z</dcterms:modified>
</cp:coreProperties>
</file>